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User\Dropbox\SDK\doc\"/>
    </mc:Choice>
  </mc:AlternateContent>
  <bookViews>
    <workbookView xWindow="0" yWindow="0" windowWidth="23430" windowHeight="10980" activeTab="3" xr2:uid="{00000000-000D-0000-FFFF-FFFF00000000}"/>
  </bookViews>
  <sheets>
    <sheet name="Concepts" sheetId="4" r:id="rId1"/>
    <sheet name="Priorities" sheetId="11" r:id="rId2"/>
    <sheet name="ToC - Generated" sheetId="9" r:id="rId3"/>
    <sheet name="from adam" sheetId="12" r:id="rId4"/>
    <sheet name="API" sheetId="3" r:id="rId5"/>
    <sheet name="UI" sheetId="10" r:id="rId6"/>
    <sheet name="Existing Documentation" sheetId="6" r:id="rId7"/>
    <sheet name="groups" sheetId="5" r:id="rId8"/>
    <sheet name="Classes" sheetId="1" r:id="rId9"/>
  </sheets>
  <definedNames>
    <definedName name="_xlnm._FilterDatabase" localSheetId="4" hidden="1">API!$A$1:$A$172</definedName>
    <definedName name="names_concepts">Concepts!$A$2:$A$50</definedName>
    <definedName name="names_groups">groups!$A$1:$A$51</definedName>
    <definedName name="priorities_table">Priorities!$A$1:$A$10</definedName>
  </definedNames>
  <calcPr calcId="171027"/>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5" i="3" l="1"/>
  <c r="D196" i="3"/>
  <c r="D197" i="3"/>
  <c r="D198" i="3"/>
  <c r="C190" i="3" l="1"/>
  <c r="C192" i="3"/>
  <c r="C194" i="3"/>
  <c r="D194" i="3"/>
  <c r="C81" i="3"/>
  <c r="C159" i="3"/>
  <c r="C158"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2" i="3"/>
  <c r="C193" i="3"/>
  <c r="C191" i="3"/>
  <c r="C188" i="3"/>
  <c r="C187" i="3"/>
  <c r="C186" i="3"/>
  <c r="C185" i="3"/>
  <c r="C184" i="3"/>
  <c r="C181" i="3"/>
  <c r="C180" i="3"/>
  <c r="C178" i="3"/>
  <c r="C177" i="3"/>
  <c r="C176" i="3"/>
  <c r="C175" i="3"/>
  <c r="C174" i="3"/>
  <c r="C173" i="3"/>
  <c r="C162" i="3"/>
  <c r="C161" i="3"/>
  <c r="C160" i="3"/>
  <c r="C157" i="3"/>
  <c r="C156" i="3"/>
  <c r="C155" i="3"/>
  <c r="C154" i="3"/>
  <c r="C153" i="3"/>
  <c r="C152" i="3"/>
  <c r="C151" i="3"/>
  <c r="C150" i="3"/>
  <c r="C136" i="3"/>
  <c r="C133" i="3"/>
  <c r="C132" i="3"/>
  <c r="C131" i="3"/>
  <c r="C130" i="3"/>
  <c r="C129" i="3"/>
  <c r="C128" i="3"/>
  <c r="C127" i="3"/>
  <c r="C126" i="3"/>
  <c r="C124" i="3"/>
  <c r="C123" i="3"/>
  <c r="C122" i="3"/>
  <c r="C121" i="3"/>
  <c r="C120" i="3"/>
  <c r="C119" i="3"/>
  <c r="C118" i="3"/>
  <c r="C117" i="3"/>
  <c r="C116" i="3"/>
  <c r="C115" i="3"/>
  <c r="C114" i="3"/>
  <c r="C113" i="3"/>
  <c r="C112" i="3"/>
  <c r="C111" i="3"/>
  <c r="C110" i="3"/>
  <c r="C109" i="3"/>
  <c r="C108" i="3"/>
  <c r="C107" i="3"/>
  <c r="C106" i="3"/>
  <c r="C105" i="3"/>
  <c r="C104" i="3"/>
  <c r="C103" i="3"/>
  <c r="C101" i="3"/>
  <c r="C99" i="3"/>
  <c r="C98" i="3"/>
  <c r="C97" i="3"/>
  <c r="C96" i="3"/>
  <c r="C95" i="3"/>
  <c r="C94" i="3"/>
  <c r="C93" i="3"/>
  <c r="C92" i="3"/>
  <c r="C91" i="3"/>
  <c r="C90" i="3"/>
  <c r="C89" i="3"/>
  <c r="C88" i="3"/>
  <c r="C87" i="3"/>
  <c r="C86" i="3"/>
  <c r="C85" i="3"/>
  <c r="C84" i="3"/>
  <c r="C83" i="3"/>
  <c r="C82" i="3"/>
  <c r="C80" i="3"/>
  <c r="C79" i="3"/>
  <c r="C179" i="3"/>
  <c r="C100" i="3"/>
  <c r="C10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9" i="3"/>
  <c r="C182" i="3"/>
  <c r="C21" i="3" l="1"/>
  <c r="C20" i="3"/>
  <c r="C19" i="3"/>
  <c r="C18" i="3"/>
  <c r="C17" i="3"/>
  <c r="C13" i="3"/>
  <c r="C12" i="3"/>
  <c r="C11" i="3"/>
  <c r="C3" i="3"/>
  <c r="C5" i="3"/>
  <c r="C7" i="3"/>
  <c r="C6" i="3"/>
  <c r="C16" i="3"/>
  <c r="C15" i="3"/>
  <c r="C14" i="3"/>
  <c r="C10" i="3"/>
  <c r="C8" i="3"/>
  <c r="C4" i="3"/>
  <c r="C2" i="3"/>
  <c r="K2" i="3"/>
  <c r="K79"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21" i="3"/>
  <c r="K20" i="3"/>
  <c r="K19" i="3"/>
  <c r="K18" i="3"/>
  <c r="K17" i="3"/>
  <c r="K13" i="3"/>
  <c r="K12" i="3"/>
  <c r="K11" i="3"/>
  <c r="C22" i="3"/>
  <c r="A125" i="3"/>
  <c r="A115" i="3"/>
  <c r="A111" i="3"/>
  <c r="A100" i="3"/>
  <c r="A168" i="3"/>
  <c r="A108" i="3"/>
  <c r="A102" i="3"/>
  <c r="A47" i="3"/>
  <c r="A48" i="3"/>
  <c r="A49" i="3"/>
  <c r="A50" i="3"/>
  <c r="A51" i="3"/>
  <c r="A52" i="3"/>
  <c r="A53" i="3"/>
  <c r="A40" i="3"/>
  <c r="A41" i="3"/>
  <c r="A42" i="3"/>
  <c r="A43" i="3"/>
  <c r="A44" i="3"/>
  <c r="A45" i="3"/>
  <c r="A46" i="3"/>
  <c r="A56" i="3"/>
  <c r="A57" i="3"/>
  <c r="A58" i="3"/>
  <c r="A59" i="3"/>
  <c r="A60" i="3"/>
  <c r="A61" i="3"/>
  <c r="A62" i="3"/>
  <c r="A63" i="3"/>
  <c r="A64" i="3"/>
  <c r="A76" i="3"/>
  <c r="A65" i="3"/>
  <c r="A66" i="3"/>
  <c r="A67" i="3"/>
  <c r="A68" i="3"/>
  <c r="A69" i="3"/>
  <c r="A54" i="3"/>
  <c r="A70" i="3"/>
  <c r="A71" i="3"/>
  <c r="A72" i="3"/>
  <c r="A73" i="3"/>
  <c r="A29" i="3"/>
  <c r="A30" i="3"/>
  <c r="A31" i="3"/>
  <c r="A32" i="3"/>
  <c r="A33" i="3"/>
  <c r="A34" i="3"/>
  <c r="A35" i="3"/>
  <c r="A36" i="3"/>
  <c r="A28" i="3"/>
  <c r="A37" i="3"/>
  <c r="A38" i="3"/>
  <c r="A39" i="3"/>
  <c r="A77" i="3"/>
  <c r="A74" i="3"/>
  <c r="A55" i="3"/>
  <c r="A75" i="3"/>
  <c r="A22" i="3"/>
  <c r="A23" i="3"/>
  <c r="A24" i="3"/>
  <c r="A25" i="3"/>
  <c r="A26" i="3"/>
  <c r="A27" i="3"/>
  <c r="A21" i="3"/>
  <c r="A150" i="3"/>
  <c r="A153" i="3"/>
  <c r="A166" i="3"/>
  <c r="A164" i="3"/>
  <c r="A167" i="3"/>
  <c r="A165" i="3"/>
  <c r="A123" i="3"/>
  <c r="A117" i="3"/>
  <c r="A128" i="3"/>
  <c r="A129" i="3"/>
  <c r="A130" i="3"/>
  <c r="A127" i="3"/>
  <c r="A118" i="3"/>
  <c r="A107" i="3" l="1"/>
  <c r="A104" i="3"/>
  <c r="A88" i="3"/>
  <c r="A94" i="3"/>
  <c r="A97" i="3"/>
  <c r="A120" i="3"/>
  <c r="A163" i="3"/>
  <c r="A169" i="3"/>
  <c r="H3" i="5"/>
  <c r="K154" i="3"/>
  <c r="K109" i="3"/>
  <c r="K113" i="3"/>
  <c r="A19" i="3"/>
  <c r="A109" i="3"/>
  <c r="A113" i="3"/>
  <c r="F174" i="4" l="1"/>
  <c r="A126" i="3"/>
  <c r="A112" i="3"/>
  <c r="A18" i="3"/>
  <c r="A20" i="3"/>
  <c r="A17" i="3"/>
  <c r="A13" i="3"/>
  <c r="A12" i="3"/>
  <c r="A11" i="3"/>
  <c r="A9" i="3"/>
  <c r="A8" i="3"/>
  <c r="A103" i="3"/>
  <c r="A105" i="3"/>
  <c r="A116" i="3"/>
  <c r="A122" i="3"/>
  <c r="A119" i="3"/>
  <c r="A124" i="3"/>
  <c r="A3" i="3"/>
  <c r="K166" i="3"/>
  <c r="A2" i="3"/>
  <c r="A171" i="3"/>
  <c r="A92" i="3"/>
  <c r="A96" i="3"/>
  <c r="A90" i="3"/>
  <c r="A170" i="3"/>
  <c r="A172" i="3"/>
  <c r="A93" i="3"/>
  <c r="A14" i="3"/>
  <c r="A106" i="3"/>
  <c r="A101" i="3"/>
  <c r="A158" i="3"/>
  <c r="A157" i="3"/>
  <c r="A161" i="3"/>
  <c r="A156" i="3"/>
  <c r="A160" i="3"/>
  <c r="A159" i="3"/>
  <c r="A162" i="3"/>
  <c r="A80" i="3"/>
  <c r="A121" i="3"/>
  <c r="A82" i="3"/>
  <c r="A87" i="3"/>
  <c r="A84" i="3"/>
  <c r="A99" i="3"/>
  <c r="A85" i="3"/>
  <c r="A89" i="3"/>
  <c r="A152" i="3"/>
  <c r="A155" i="3"/>
  <c r="A83" i="3"/>
  <c r="A98" i="3"/>
  <c r="A91" i="3"/>
  <c r="A95" i="3"/>
  <c r="A81" i="3"/>
  <c r="A86" i="3"/>
  <c r="A151" i="3"/>
  <c r="A154" i="3"/>
  <c r="A110" i="3"/>
  <c r="A114" i="3"/>
  <c r="K110" i="3"/>
  <c r="K114" i="3"/>
  <c r="K5" i="3"/>
  <c r="K4" i="3"/>
  <c r="K163" i="3"/>
  <c r="K169" i="3"/>
  <c r="K90" i="3"/>
  <c r="K78" i="3"/>
  <c r="K100" i="3"/>
  <c r="K102" i="3"/>
  <c r="K87" i="3"/>
  <c r="K84" i="3"/>
</calcChain>
</file>

<file path=xl/sharedStrings.xml><?xml version="1.0" encoding="utf-8"?>
<sst xmlns="http://schemas.openxmlformats.org/spreadsheetml/2006/main" count="1437" uniqueCount="802">
  <si>
    <t>ImageRotation</t>
  </si>
  <si>
    <t>RectangleSize</t>
  </si>
  <si>
    <t>WebDriverAction</t>
  </si>
  <si>
    <t>@return Whether Eyes should force a full page screenshot.</t>
  </si>
  <si>
    <t>Sets the time to wait just before taking a screenshot (e.g., to allow smaller or equal to 0, will cause the efault value to be used. positioning to stabilize when performing a full page stitching). @param waitBeforeScreenshots The time to wait (Milliseconds). Values</t>
  </si>
  <si>
    <t>@return The time to wait just before taking a screenshot.</t>
  </si>
  <si>
    <t xml:space="preserve"> Turns on/off the automatic scrolling to a region being checked by {@code checkRegion} 
@param shouldScroll Whether to automatically scroll to a region being validated.</t>
  </si>
  <si>
    <t xml:space="preserve">     * Hide the scrollbars when taking screenshots.
 @param shouldHide Whether to hide the scrollbars or not.</t>
  </si>
  <si>
    <t>See {@link #checkWindow(String)}.  {@code tag} defaults to {@code null} Default match timeout is used.</t>
  </si>
  <si>
    <t xml:space="preserve"> Takes a snapshot of the application under test and matches it with the expected output.
@param matchTimeout The amount of time to retry matching (Milliseconds).
 @param tag          An optional tag to be associated with the snapshot.
 @throws TestFailedException Thrown if a mismatch is detected and  immediate failure reports are enabled.</t>
  </si>
  <si>
    <t xml:space="preserve">Runs a test on the current window.
@param driver       The web driver that controls the browser hosting  the application under test.
@param appName      The name of the application under test.
@param testName     The test name (will also be used as the tag name for the step).
 @param viewportSize The required browser's viewport size   (i.e., the visible part of the document's body) or    {@code null} to use the current window's viewport.
</t>
  </si>
  <si>
    <t>Run a visual performance test.    
@param driver   The driver to use.     
@param appName  The name of the application being tested. 
@param testName The test name
@param action   Actions to be performed in parallel to starting the test.
@param deadline The expected time until the application should have been loaded. (Seconds)
@param timeout  The maximum time until the application should have been loaded. (Seconds)</t>
  </si>
  <si>
    <t xml:space="preserve"> See {@link #testResponseTime(WebDriver, String, String, WebDriverAction, int, int)}.  {@code timeout} defaults to {@code deadline} + {@link #RESPONSE_TIME_DEFAULT_DIFF_FROM_DEADLINE}.</t>
  </si>
  <si>
    <t>See {@link #testResponseTime(WebDriver, String, String, WebDriverAction, int, int)}.  {@code deadline} defaults to {@link #RESPONSE_TIME_DEFAULT_DEADLINE}.{@code timeout} defaults to {@link #RESPONSE_TIME_DEFAULT_DEADLINE} + {@link #RESPONSE_TIME_DEFAULT_DIFF_FROM_DEADLINE}.</t>
  </si>
  <si>
    <t xml:space="preserve"> @return The currently set position provider.</t>
  </si>
  <si>
    <t>Use this method only if you made a previous call to {@link #open      * (WebDriver, String, String)} or one of its variants.     * &lt;p&gt;      * {@inheritDoc}     * Set the viewport size using the driver. Call his method if for some     * reason you don't want to call {@link #open(WebDriver, String, String)}     * or one of its variants) yet.     * @param driver The driver to use for setting the viewport.     * @param size   The required viewport size.</t>
  </si>
  <si>
    <t>@Override</t>
  </si>
  <si>
    <t>Adds a keyboard trigger. 
@param element The element for which we sent keys.
@param text    The trigger's text.</t>
  </si>
  <si>
    <t>Adds a keyboard trigger.
@param control The control's context-relative region.
@param text    The trigger's text.</t>
  </si>
  <si>
    <t>Adds a mouse trigger.
     * @param action  Mouse action.
     * @param element The WebElement on which the click was called.</t>
  </si>
  <si>
    <t>Adds a mouse trigger.
     * @param action  Mouse action.
     * @param control The control on which the trigger is activated (context relative coordinates).
     * @param cursor  The cursor's position relative to the control.</t>
  </si>
  <si>
    <t>Takes a snapshot of the application under test and matches an element
     * specified by the given selector with the expected region output.
     * @param selector     Selects the element to check.
     * @param matchTimeout The amount of time to retry matching. (Milliseconds)
     * @param tag          An optional tag to be associated with the screenshot.
     * @throws TestFailedException if a mismatch is detected and
     *                             immediate failure reports are enabled</t>
  </si>
  <si>
    <t xml:space="preserve"> See {@link #checkElement(By, int, String)}. Default match timeout is used.</t>
  </si>
  <si>
    <t>ee {@link #checkElement(By, String)}.      * {@code tag} defaults to {@code null}.</t>
  </si>
  <si>
    <t>See {@link #checkElement(WebElement, int, String)}.      * Default match timeout is used.</t>
  </si>
  <si>
    <t>See {@link #checkElement(WebElement, String)}. {@code tag} defaults to {@code null}.</t>
  </si>
  <si>
    <t>See {@link #checkRegionInFrame(String[], By, int, String)}. Default match timeout is used.  {@code tag} defaults to {@code null}.</t>
  </si>
  <si>
    <t>See {@link #checkRegionInFrame(String[], By, int, String)}. Default match timeout is used.</t>
  </si>
  <si>
    <t>See {@link #checkRegionInFrame(String[], By, int, String, boolean)}.      * {@code stitchContent} defaults to {@code false}</t>
  </si>
  <si>
    <t>Switches into the given frame, takes a snapshot of the application under test and matches a region specified by the given selector.
     * @param framePath     The path to the frame to check. This is a list of
     *                      frame names/IDs (where each frame is nested in the previous frame).
     * @param selector      A Selector specifying the region to check.
     * @param matchTimeout  The amount of time to retry matching (milliseconds).
     * @param tag           An optional tag to be associated with the snapshot.
     * @param stitchContent Whether or not to stitch the internal content of the region (i.e., perform {@link #checkElement(By, int, String)} on the region.</t>
  </si>
  <si>
    <t>See {@link #checkFrame(String[], int, String)}.      * Default match timeout is used.     * {@code tag} defaults to {@code null}.</t>
  </si>
  <si>
    <t>See {@link #checkFrame(String[], int, String)}.  Default match timeout is used.{@code tag} defaults to {@code null}.</t>
  </si>
  <si>
    <t>Matches the frame given as parameter, by switching into the frame and using stitching to get an image of the frame.
     * @param frameReference The element which is the frame to switch to. (as would be used in a call to driver.switchTo().frame() ).
     * @param matchTimeout   The amount of time to retry matching (milliseconds).
     * @param tag            An optional tag to be associated with the match.</t>
  </si>
  <si>
    <t xml:space="preserve"> See {@link #checkFrame(WebElement, int, String)}. Default match timeout is used.</t>
  </si>
  <si>
    <t>See {@link #checkFrame(WebElement, int, String)}.   {@code tag} defaults to {@code null}. Default match timeout is used.</t>
  </si>
  <si>
    <t>Matches the frame given as parameter, by switching into the frame and using stitching to get an image of the frame.
     * @param frameIndex   The index of the frame to switch to. (The same index as would be used in a call to driver.switchTo().frame()).
     * @param matchTimeout The amount of time to retry matching. (Milliseconds)
     * @param tag          An optional tag to be associated with the match.</t>
  </si>
  <si>
    <t>See {@link #checkFrame(int, int, String)}. Default match timeout is used.</t>
  </si>
  <si>
    <t>See {@link #checkFrame(int, int, String)}. {@code tag} defaults to {@code null}. Default match timeout is used.</t>
  </si>
  <si>
    <t>Matches the frame given as parameter, by switching into the frame and using stitching to get an image of the frame.
     * @param frameNameOrId The name or id of the frame to check. (The same name/id as would be used in a call to driver.switchTo().frame()).
     * @param matchTimeout  The amount of time to retry matching. (Milliseconds)
     * @param tag           An optional tag to be associated with the match</t>
  </si>
  <si>
    <t>See {@link #checkFrame(String, int, String)}.  Default match timeout is used.</t>
  </si>
  <si>
    <t>See {@link #checkFrame(String, int, String)}. {@code tag} defaults to {@code null}. Default match timeout is used.</t>
  </si>
  <si>
    <t>Switches into the given frame, takes a snapshot of the application under
     * test and matches a region specified by the given selector.
     * @param frameReference The element which is the frame to switch to.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</si>
  <si>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#checkRegionInFrame(WebElement, By, int, String, boolean)}.      * {@code stitchContent} defaults to {@code false}.</t>
  </si>
  <si>
    <t>See {@link #checkRegionInFrame(WebElement, By, int, String, boolean)}. Default match timeout is used.</t>
  </si>
  <si>
    <t>See {@link #checkRegionInFrame(WebElement, By, String, boolean)}. {@code stitchContent} defaults to {@code false}.</t>
  </si>
  <si>
    <t>See {@link #checkRegionInFrame(WebElement, By, String, boolean)}. {@code tag} defaults to {@code null}.</t>
  </si>
  <si>
    <t>See {@link #checkRegionInFrame(WebElement, By, boolean)}. {@code stitchContent} defaults to {@code null}.</t>
  </si>
  <si>
    <t>witches into the given frame, takes a snapshot of the application under test and matches a region specified by the given selector.
     * @param frameNameOrId The name or id of the frame to switch to.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</si>
  <si>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#checkRegionInFrame(String, By, int, String, boolean)}. {@code stitchContent} defaults to {@code false}.</t>
  </si>
  <si>
    <t>See {@link #checkRegionInFrame(String, By, int, String, boolean)}. {@code stitchContent} defaults to {@code null}.</t>
  </si>
  <si>
    <t>See {@link #checkRegionInFrame(String, By, int, String, boolean)}. {@code tag} defaults to {@code null}.</t>
  </si>
  <si>
    <t>See {@link #checkRegionInFrame(String, By, int, String, boolean)}. {@code stitchContent} defaults to {@code null}</t>
  </si>
  <si>
    <t>witches into the given frame, takes a snapshot of the application under
     * test and matches a region specified by the given selector.
     * @param frameIndex    The index of the frame to switch to. (The same index as would be used in a call to driver.switchTo().frame()).
     * @param selector      A Selector specifying the region to check.
     * @param matchTimeout  The amount of time to retry matching. (Milliseconds)
     * @param tag           An optional tag to be associated with the snapshot.
     * @param stitchContent If {@code true}, stitch the internal content of the region (i.e., perform {@link #checkElement(By, int, String)} on the region.</t>
  </si>
  <si>
    <t>See {@link #checkRegionInFrame(int, By, int, String, boolean)}. {@code stitchContent} defaults to {@code false}.</t>
  </si>
  <si>
    <t>See {@link #checkRegionInFrame(int, By, int, String, boolean)}. Default match timeout is used.</t>
  </si>
  <si>
    <t>See {@link #checkRegionInFrame(int, By, String, boolean)}. {@code stitchContent} defaults to {@code false}.</t>
  </si>
  <si>
    <t>See {@link #checkRegionInFrame(int, By, String)}. {@code tag} defaults to {@code null}.</t>
  </si>
  <si>
    <t>If {@code stitchContent} is {@code false} then behaves the same as {@link #checkRegion(org.openqa.selenium.By, int, String)}. Otherwise, behaves the same as {@link #checkElement(By, int, String)}.</t>
  </si>
  <si>
    <t>If {@code stitchContent} is {@code false} then behaves the same as {@link #checkRegion(org.openqa.selenium.By, String)}. Otherwise, behaves the same as {@link #checkElement(By, String)}.</t>
  </si>
  <si>
    <t>See {@link #checkRegion(By, int, String)}. Default match timeout is used.</t>
  </si>
  <si>
    <t>If {@code stitchContent} is {@code false} then behaves the same as {@link #checkRegion(org.openqa.selenium.By)}. Otherwise, behaves the same as {@code #checkElement(org.openqa.selenium.By)}</t>
  </si>
  <si>
    <t>See {@link #checkRegion(By, String)}. {@code tag} defaults to {@code null}.</t>
  </si>
  <si>
    <t>if {@code stitchContent} is {@code false} then behaves the same {@link #checkRegion(org.openqa.selenium.WebElement, int, String)}. Otherwise behaves the same as {@link #checkElement(WebElement, String)}.</t>
  </si>
  <si>
    <t>Takes a snapshot of the application under test and matches a region of a specific element with the expected region output.
     * @param element      The element which represents the region to check.
     * @param matchTimeout The amount of time to retry matching. (Milliseconds)
     * @param tag          An optional tag to be associated with the snapshot.
     * @throws TestFailedException if a mismatch is detected and immediate failure reports are enabled</t>
  </si>
  <si>
    <t>if {@code stitchContent} is {@code false} then behaves the same {@link #checkRegion(org.openqa.selenium.WebElement, String)}. Otherwise behaves the same as {@link #checkElement(WebElement, String)}.</t>
  </si>
  <si>
    <t>See {@link #checkRegion(WebElement, int, String)}. Default match timeout is used.</t>
  </si>
  <si>
    <t>If {@code stitchContent} is {@code false} then behaves the same as {@link #checkRegion(org.openqa.selenium.WebElement)}, otherwise behaves the same as {@link #checkElement(WebElement)}.</t>
  </si>
  <si>
    <t>See {@link #checkRegion(WebElement, String)}. {@code tag} defaults to {@code null}.</t>
  </si>
  <si>
    <t>Takes a snapshot of the application under test and matches a specific region within it with the expected output.
     * @param region       A non empty region representing the screen region to check.
     * @param matchTimeout The amount of time to retry matching. (Milliseconds)
     * @param tag          An optional tag to be associated with the snapshot.
     * @throws TestFailedException Thrown if a mismatch is detected and immediate failure reports are enabled.</t>
  </si>
  <si>
    <t>ee {@link #checkRegion(Region, int, String)}. {@code tag} defaults to {@code null}. Default match timeout is used.</t>
  </si>
  <si>
    <t>NO COMMENT</t>
  </si>
  <si>
    <t>See {@link #testResponseTime(WebDriver, String, String, int, int, RectangleSize)}. {@code timeout} defaults to {@code deadline} + {@link #RESPONSE_TIME_DEFAULT_DIFF_FROM_DEADLINE}.</t>
  </si>
  <si>
    <t xml:space="preserve">     * See {@link #testResponseTime(WebDriver, String, String, int, int, RectangleSize)}.
     * {@code deadline} defaults to {@link #RESPONSE_TIME_DEFAULT_DEADLINE}.
     * {@code timeout} defaults to {@link #RESPONSE_TIME_DEFAULT_DEADLINE} + {@link #RESPONSE_TIME_DEFAULT_DIFF_FROM_DEADLINE}.</t>
  </si>
  <si>
    <t>See {@link #testResponseTime(WebDriver, String, String, int, int, RectangleSize)}. {@code deadline} defaults to {@link #RESPONSE_TIME_DEFAULT_DEADLINE}. {@code timeout} defaults to {@link #RESPONSE_TIME_DEFAULT_DEADLINE} + {@link #RESPONSE_TIME_DEFAULT_DIFF_FROM_DEADLINE}.</t>
  </si>
  <si>
    <t xml:space="preserve">See {@link #testResponseTime(WebDriver, String, String, WebDriverAction, int, int, RectangleSize)}. {@code timeout} defaults to {@code deadline} + {@link #RESPONSE_TIME_DEFAULT_DIFF_FROM_DEADLINE}. </t>
  </si>
  <si>
    <t>Similar to {@link #testResponseTime(WebDriver, String, String, WebDriverAction, int, int)}, except this method sets the viewport size before starting the performance test.
     * @param viewportSize The required viewport size.</t>
  </si>
  <si>
    <t>See {@link #testResponseTime(WebDriver, String, String, WebDriverAction, int, int)}.
     * {@code deadline} defaults to {@link #RESPONSE_TIME_DEFAULT_DEADLINE}.
     * {@code timeout} defaults to {@link #RESPONSE_TIME_DEFAULT_DEADLINE} + {@link #RESPONSE_TIME_DEFAULT_DIFF_FROM_DEADLINE}.
     * {@code action} defaults to {@code null}.</t>
  </si>
  <si>
    <t>See {@link #testResponseTime(WebDriver, String, String, WebDriverAction, int, int)}.
     * {@code action} defaults to {@code null}.
     * {@code timeout} defaults to {@code deadline} + {@link #RESPONSE_TIME_DEFAULT_DIFF_FROM_DEADLINE}.</t>
  </si>
  <si>
    <t xml:space="preserve">Sets the proxy settings to be used by the rest client.
     * @param proxySettings The proxy settings to be used by the rest client. If {@code null} then no proxy is set.
</t>
  </si>
  <si>
    <t xml:space="preserve">@return The current proxy settings used by the server connector,or {@code null} if no proxy is set.
</t>
  </si>
  <si>
    <t xml:space="preserve">@param isDisabled If true, all interactions with this API will be silently ignored.
</t>
  </si>
  <si>
    <t>what about functuions that return values ?</t>
  </si>
  <si>
    <t>@return Whether eyes is disabled.</t>
  </si>
  <si>
    <t>* @return The name of the application under test.</t>
  </si>
  <si>
    <t xml:space="preserve">Sets the branch in which the baseline for subsequent test runs resides.
     * If the branch does not already exist it will be created under the specified parent branch (see {@link #setParentBranchName}).
     * Changes to the baseline or model of a branch do not propagate to other branches.
     * @param branchName Branch name or {@code null} to specify the default branch.
</t>
  </si>
  <si>
    <t xml:space="preserve"> @return The current branch (see {@link #setBranchName(String)}).
</t>
  </si>
  <si>
    <t xml:space="preserve">* @return The name of the current parent branch under which new branches will be created. (see {@link #setParentBranchName(String)}).
</t>
  </si>
  <si>
    <t xml:space="preserve">@return The name of the current parent branch under which new branches will be created. (see {@link #setParentBranchName(String)}).
</t>
  </si>
  <si>
    <t xml:space="preserve">Sets the maximum time (in ms) a match operation tries to perform a match. @param ms Total number of ms to wait for a match.
</t>
  </si>
  <si>
    <t xml:space="preserve">@return The maximum time in ms {@link #checkWindowBase (RegionProvider, String, boolean, int)} waits for a match.
</t>
  </si>
  <si>
    <t>@return True if new tests are saved by default.</t>
  </si>
  <si>
    <t>* @return True if failed tests are saved by default.</t>
  </si>
  <si>
    <t xml:space="preserve">* Sets the batch in which context future tests will run or {@code null} if tests are to run standalone.
     * @param batch The batch info to set.
</t>
  </si>
  <si>
    <t>@return The currently set batch info.</t>
  </si>
  <si>
    <t xml:space="preserve">* @return the failure reports setting.
</t>
  </si>
  <si>
    <t xml:space="preserve">Updates the match settings to be used for the session.
     * @param defaultMatchSettings The match settings to be used for the session.
</t>
  </si>
  <si>
    <t xml:space="preserve">This function is deprecated. Please use {@link #setDefaultMatchSettings} instead.
     * &lt;p&gt;
     * The test-wide match level to use when checking application screenshot with the expected output.
     * @param matchLevel The match level setting.
     * @see com.applitools.eyes.MatchLevel
</t>
  </si>
  <si>
    <t xml:space="preserve">@return The test-wide match level.
     * @deprecated Please use{@link #getDefaultMatchSettings} instead.
</t>
  </si>
  <si>
    <t>* @return Whether a session is open.</t>
  </si>
  <si>
    <t xml:space="preserve">Sets a handler of log messages generated by this API.
     * @param logHandler Handles log messages generated by this API.
</t>
  </si>
  <si>
    <t>@return The currently set log handler.</t>
  </si>
  <si>
    <t>Manually set the the sizes to cut from an image before it's validated.
     * @param cutProvider the provider doing the cut.</t>
  </si>
  <si>
    <t xml:space="preserve">Manually set the scale ratio for the images being validated.
     * @param scaleRatio The scale ratio to use, or {@code null} to reset back to automatic scaling.
</t>
  </si>
  <si>
    <t>* @return The ratio used to scale the images being validated.</t>
  </si>
  <si>
    <t xml:space="preserve">* Adds a property to be sent to the server.
     * @param name  The property name.
     * @param value The property value.
</t>
  </si>
  <si>
    <t>* @return True if screenshots saving enabled.</t>
  </si>
  <si>
    <t>@param pathToSave Path where you want to save the debug screenshots.</t>
  </si>
  <si>
    <t>@return The path where you want to save the debug screenshots.</t>
  </si>
  <si>
    <t>@return The prefix for the screenshots' names.</t>
  </si>
  <si>
    <t>* @return Whether to ignore or the blinking caret or not when comparing images.</t>
  </si>
  <si>
    <t xml:space="preserve">Sets the ignore blinking caret value.
     * @param value The ignore value.
</t>
  </si>
  <si>
    <t>what is the default value ?</t>
  </si>
  <si>
    <t xml:space="preserve"> @return Returns the stitching overlap in pixels.</t>
  </si>
  <si>
    <t xml:space="preserve">Sets the stitching overlap in pixels.
     * @param pixels The width (in pixels) of the overlap.
</t>
  </si>
  <si>
    <t>See {@link #close(boolean)}.
     * {@code throwEx} defaults to {@code true}.
     * @return The test results.</t>
  </si>
  <si>
    <t xml:space="preserve">* Ends the test.
     * @param throwEx If true, an exception will be thrown for failed/new tests.
     * @return The test results.
     * @throws TestFailedException if a mismatch was found and throwEx is true.
     * @throws NewTestException    if this is a new test was found and throwEx is true.
</t>
  </si>
  <si>
    <t>If a test is running, aborts it. Otherwise, does nothing.</t>
  </si>
  <si>
    <t xml:space="preserve">@param baselineName If specified, determines the baseline to compare with and disables automatic baseline inference.
     * @deprecated Only available for backward compatibility. See {@link #setBaselineEnvName(String)}.
</t>
  </si>
  <si>
    <t xml:space="preserve">* @return The baseline name, if specified.
     * @deprecated Only available for backward compatibility. See {@link #getBaselineEnvName()}.
</t>
  </si>
  <si>
    <t xml:space="preserve">If not {@code null}, determines the name of the environment of the baseline.
     * @return The name of the baseline's environment, or {@code null} if no such name was set.
</t>
  </si>
  <si>
    <t xml:space="preserve">* If not {@code null} specifies a name for the environment in which the application under test is running.
     * @param envName The name of the environment of the baseline.
</t>
  </si>
  <si>
    <t xml:space="preserve">If not {@code null} specifies a name for the environment in which the application under test is running.
     * @return The name of the environment of the baseline, or {@code null} if no such name was set.
</t>
  </si>
  <si>
    <t xml:space="preserve">Superseded by {@link #setHostOS(String)} and {@link #setHostApp(String)}.
     * Sets the OS (e.g., Windows) and application (e.g., Chrome) that host the application under test.
     * @param hostOS  The name of the OS hosting the application under test or {@code null} to auto-detect.
     * @param hostApp The name of the application hosting the application under test or {@code null} to auto-detect.
@Deprecated
</t>
  </si>
  <si>
    <t xml:space="preserve">PositionProvider getPositionProvider() </t>
  </si>
  <si>
    <t xml:space="preserve">Define the viewport size as {@code size} without doing any actual action on the
     *
     * @param explicitViewportSize The size of the viewport. {@code null} disables the explicit size.
</t>
  </si>
  <si>
    <t>comment</t>
  </si>
  <si>
    <t>concept</t>
  </si>
  <si>
    <t>group</t>
  </si>
  <si>
    <t>description</t>
  </si>
  <si>
    <t>base</t>
  </si>
  <si>
    <t>* @return The user given agent id of the SDK.</t>
  </si>
  <si>
    <t>@return The currently set API key or {@code null} if no key is set.</t>
  </si>
  <si>
    <t>@return The URI of the eyes server.</t>
  </si>
  <si>
    <t>@return get the host OS running the AUT.</t>
  </si>
  <si>
    <t>@return The application name running the AUT.</t>
  </si>
  <si>
    <t>@return The currently set position provider.</t>
  </si>
  <si>
    <t xml:space="preserve">* Sets the current server URL used by the rest client. (TBD is the word "rest" relevent here ? Calling application perhaps /
     * @param serverUrl The URI of the rest server, or {@code null} to use  the default server.
</t>
  </si>
  <si>
    <t>What is a proxy client</t>
  </si>
  <si>
    <t>proxy client</t>
  </si>
  <si>
    <t>rest client</t>
  </si>
  <si>
    <t>server</t>
  </si>
  <si>
    <t>ProxySettings</t>
  </si>
  <si>
    <t>Class Name</t>
  </si>
  <si>
    <t>Application Name</t>
  </si>
  <si>
    <t>Application under test</t>
  </si>
  <si>
    <t>what is a branch</t>
  </si>
  <si>
    <t>branches</t>
  </si>
  <si>
    <t>parent branch</t>
  </si>
  <si>
    <t>optional ?</t>
  </si>
  <si>
    <t>when is this used ?
What if not called ?</t>
  </si>
  <si>
    <t>tbd</t>
  </si>
  <si>
    <t>what is a new test?</t>
  </si>
  <si>
    <t>test failure types</t>
  </si>
  <si>
    <t>batch</t>
  </si>
  <si>
    <t>when is a timeout necessary ?
What is the state of the system after a timeout ?
Is any recovery necessary ?
Is the timeout at the client (and includes network delays) or the server ?
Is there a default value or are calls "stuck" for ever ?
Which methods does ths impact ?</t>
  </si>
  <si>
    <t>BatchInfo</t>
  </si>
  <si>
    <t>WebDriver</t>
  </si>
  <si>
    <t>Region</t>
  </si>
  <si>
    <t>What is a batch ?</t>
  </si>
  <si>
    <t>FailureReports</t>
  </si>
  <si>
    <t xml:space="preserve">@param failureReports 
     * @see FailureReports
</t>
  </si>
  <si>
    <t>Determines if failures are reported when they are detecgted or when "close() is called. 
Is a failure a problem - or the name used to describe a match thagt has failed ?
This is an enum and not a boolean - what other values are envusaged</t>
  </si>
  <si>
    <t>ImageMatchSettings</t>
  </si>
  <si>
    <t>need to understand all of the settings and how to use them. This is proabable a white paper topic</t>
  </si>
  <si>
    <t>MatchLevel</t>
  </si>
  <si>
    <t>Is this for conveniance or are there cases that it must be used (are there methods that may not be called if this is false ?0</t>
  </si>
  <si>
    <t>CutProvider</t>
  </si>
  <si>
    <t>When is this used ?
What Is a cut provider</t>
  </si>
  <si>
    <t>what is a scale ratio ?
When is this API used ?
What values can this take ? 
Is it symetrical in 2D ?</t>
  </si>
  <si>
    <t>What are these properties and how are they used ?</t>
  </si>
  <si>
    <t>DebugScreenshotsProvider</t>
  </si>
  <si>
    <t>TestResults</t>
  </si>
  <si>
    <t>What strings are allowed here ?</t>
  </si>
  <si>
    <t>Baseline</t>
  </si>
  <si>
    <t>deprecated</t>
  </si>
  <si>
    <t>when are baselines used ? 
How do they impact the GUI tool</t>
  </si>
  <si>
    <t xml:space="preserve">PositionProvider </t>
  </si>
  <si>
    <t>when is this used ?</t>
  </si>
  <si>
    <t>URI</t>
  </si>
  <si>
    <t>LogHandler</t>
  </si>
  <si>
    <t>Allows client to define a handler for log messages producesd by the Eyes API</t>
  </si>
  <si>
    <t>Is there anything user interpretqble here that needs t be documented /</t>
  </si>
  <si>
    <t>epresents a 2D size (OF AN IMAGE ? Tbd)</t>
  </si>
  <si>
    <t>What is this ?</t>
  </si>
  <si>
    <t>How is this used ?</t>
  </si>
  <si>
    <t>Wherfe is this used and how</t>
  </si>
  <si>
    <t>Creates a new (possibly disabled) Eyes instance that interacts with the Eyes Server at the specified url.
     * @param serverUrl The Eyes server URL.</t>
  </si>
  <si>
    <t>Creates a new Eyes instance that interacts with the Eyes cloud service.</t>
  </si>
  <si>
    <t>Forces a full page screenshot (by scrolling and stitching) if the browser only ﻿supports viewport screenshots).
     * @param shouldForce Whether to force a full page screenshot or not.</t>
  </si>
  <si>
    <t>What does "possibly disabled" impy ?</t>
  </si>
  <si>
    <t>Here it is not "possible disabled ?</t>
  </si>
  <si>
    <t>off by default ?</t>
  </si>
  <si>
    <t>Why/When is this necessary ?</t>
  </si>
  <si>
    <t>StitchMode mode</t>
  </si>
  <si>
    <t>Stitching</t>
  </si>
  <si>
    <t>Set the type of stitching used for full page screenshots. When the page includes fixed position header/sidebar, use {@link StitchMode#CSS}. Default is {@link StitchMode#SCROLL}.
@param mode The stitch mode to set.</t>
  </si>
  <si>
    <t>ICheckSettings</t>
  </si>
  <si>
    <t>WebElement</t>
  </si>
  <si>
    <t>By</t>
  </si>
  <si>
    <t>MouseAction</t>
  </si>
  <si>
    <t xml:space="preserve">Sets the user given agent id of the SDK.
          @param agentId The agent ID to set. If it has the value of  {@code null} then this states that there is no id. TBD and therefore ? 
</t>
  </si>
  <si>
    <t>what happens when there is no agent id.
 What values can it take</t>
  </si>
  <si>
    <t xml:space="preserve">Sets the API key of your applitools Eyes account, as provided by Aplitools. See TBD where in the web
     * @param apiKey The api key to set.
</t>
  </si>
  <si>
    <t>check:if not called then the default server is used
What other values are possible ? how does the user know ?</t>
  </si>
  <si>
    <t>The most basic commands that make up a test</t>
  </si>
  <si>
    <t>Configutions related to the test environment/platform</t>
  </si>
  <si>
    <t>Control of the test sequence</t>
  </si>
  <si>
    <t>management of test results</t>
  </si>
  <si>
    <t>eyesBase</t>
  </si>
  <si>
    <t>eyes</t>
  </si>
  <si>
    <t>API Key</t>
  </si>
  <si>
    <t>Eyes Server</t>
  </si>
  <si>
    <t>platform control</t>
  </si>
  <si>
    <t>test control</t>
  </si>
  <si>
    <t>tuning the results (image matching control) and controling what is matched</t>
  </si>
  <si>
    <t>Eco System</t>
  </si>
  <si>
    <t>describe all the components around a system that includes eyes</t>
  </si>
  <si>
    <t>Eyes Client</t>
  </si>
  <si>
    <t>proxy, REST API</t>
  </si>
  <si>
    <t>none</t>
  </si>
  <si>
    <t>id of the SDK in use e.g. java/selenium/version</t>
  </si>
  <si>
    <t>internal</t>
  </si>
  <si>
    <t>for users that hav eon premise, or private cloud (anything apart from public which is the defaut)</t>
  </si>
  <si>
    <t>either for debug, or because user has say a direwall</t>
  </si>
  <si>
    <t>to st the time adfter which the sync check call timeout. Repeat until match ok or timeout after retrued mismatch.  His is because end of rendering is not known to eyes. The user can also set the timeout per checkpoint</t>
  </si>
  <si>
    <t xml:space="preserve">default true, auo create base;line for new images. On open retunrs results if baseine exisgts, if it doesn’t then tis cmnd says whethere to save test  as new baseline or not. </t>
  </si>
  <si>
    <t>overide the baseline . Tumb up/down relate to the entire image and not to the individual  "diff". Save failed test only defines whether ethe new image should be set as a baseline or not</t>
  </si>
  <si>
    <t>applitools by default only returns results at the end of the run. This forces an exception on the furst mismatch</t>
  </si>
  <si>
    <t>thesholds is another way to compare non matching images = it is not inteligent - low priority for documentation</t>
  </si>
  <si>
    <t>classic example of white paper</t>
  </si>
  <si>
    <t>to overcome platform specific pixel atio weird things</t>
  </si>
  <si>
    <t>per test pass tags to UI</t>
  </si>
  <si>
    <t>the close acts as a sort of "assert"</t>
  </si>
  <si>
    <t>used to explicitly set the OS used as part of the baseline</t>
  </si>
  <si>
    <t>ask Adam  gices an Id TRO THE &lt;os,BROSSWER,VIWQPORT SIZE) - TALK TO ADAM</t>
  </si>
  <si>
    <t>USEFUL SOMETTIMES</t>
  </si>
  <si>
    <t>from the point it is done onwarsa</t>
  </si>
  <si>
    <t>shortcur for a single image test</t>
  </si>
  <si>
    <t>fluent API instead of all the individual check*****</t>
  </si>
  <si>
    <t>I Frame</t>
  </si>
  <si>
    <t>selenikum element</t>
  </si>
  <si>
    <t>low priority (related to playback of the test)</t>
  </si>
  <si>
    <t>set the actual size (probably does not need to do it)</t>
  </si>
  <si>
    <t>void</t>
  </si>
  <si>
    <t>String</t>
  </si>
  <si>
    <t>boolean</t>
  </si>
  <si>
    <t>int</t>
  </si>
  <si>
    <t>Batchinfo</t>
  </si>
  <si>
    <t>double</t>
  </si>
  <si>
    <t>PositionProvider</t>
  </si>
  <si>
    <t>final</t>
  </si>
  <si>
    <t>StitchMode</t>
  </si>
  <si>
    <t>stitchContent</t>
  </si>
  <si>
    <t xml:space="preserve"> abortIfNotClosed()</t>
  </si>
  <si>
    <t xml:space="preserve"> getAgentId() </t>
  </si>
  <si>
    <t xml:space="preserve"> getApiKey()</t>
  </si>
  <si>
    <t xml:space="preserve"> getServerUrl()</t>
  </si>
  <si>
    <t xml:space="preserve"> getAppName() </t>
  </si>
  <si>
    <t xml:space="preserve">getBranchName() </t>
  </si>
  <si>
    <t xml:space="preserve"> getParentBranchName() </t>
  </si>
  <si>
    <t xml:space="preserve"> getBatch() </t>
  </si>
  <si>
    <t xml:space="preserve"> getDefaultServerUrl() </t>
  </si>
  <si>
    <t xml:space="preserve"> getDebugScreenshotsPath() </t>
  </si>
  <si>
    <t xml:space="preserve"> getDebugScreenshotsPrefix() </t>
  </si>
  <si>
    <t xml:space="preserve"> getDebugScreenshotsProvider()</t>
  </si>
  <si>
    <t xml:space="preserve"> close() </t>
  </si>
  <si>
    <t>setAgentId()</t>
  </si>
  <si>
    <t>String agentId</t>
  </si>
  <si>
    <t>()</t>
  </si>
  <si>
    <t xml:space="preserve"> setApiKey()</t>
  </si>
  <si>
    <t>String apiKey</t>
  </si>
  <si>
    <t xml:space="preserve"> setServerUrl() </t>
  </si>
  <si>
    <t>URI serverUrl</t>
  </si>
  <si>
    <t xml:space="preserve"> setProxy() </t>
  </si>
  <si>
    <t>ProxySettings proxySettings</t>
  </si>
  <si>
    <t xml:space="preserve"> getProxy()</t>
  </si>
  <si>
    <t xml:space="preserve"> setIsDisabled()</t>
  </si>
  <si>
    <t>boolean isDisabled</t>
  </si>
  <si>
    <t xml:space="preserve"> setAppName() </t>
  </si>
  <si>
    <t>String appName</t>
  </si>
  <si>
    <t xml:space="preserve">setBranchName() </t>
  </si>
  <si>
    <t>String branchName</t>
  </si>
  <si>
    <t>setParentBranchName()</t>
  </si>
  <si>
    <t xml:space="preserve"> setMatchTimeout() </t>
  </si>
  <si>
    <t>int ms</t>
  </si>
  <si>
    <t xml:space="preserve"> setSaveNewTests() </t>
  </si>
  <si>
    <t>boolean saveNewTests</t>
  </si>
  <si>
    <t>boolean saveFailedTests</t>
  </si>
  <si>
    <t xml:space="preserve"> setBatch() </t>
  </si>
  <si>
    <t>BatchInfo batch</t>
  </si>
  <si>
    <t xml:space="preserve"> setFailureReports()</t>
  </si>
  <si>
    <t>FailureReports failureReports</t>
  </si>
  <si>
    <t xml:space="preserve"> getFailureReports()</t>
  </si>
  <si>
    <t xml:space="preserve"> setDefaultMatchSettings() 
</t>
  </si>
  <si>
    <t xml:space="preserve">                                                defaultMatchSettings</t>
  </si>
  <si>
    <t xml:space="preserve"> getDefaultMatchSettings() </t>
  </si>
  <si>
    <t xml:space="preserve"> setMatchLevel() </t>
  </si>
  <si>
    <t>MatchLevel matchLevel</t>
  </si>
  <si>
    <t xml:space="preserve"> getMatchLevel()</t>
  </si>
  <si>
    <t>setLogHandler()</t>
  </si>
  <si>
    <t>LogHandler logHandler</t>
  </si>
  <si>
    <t xml:space="preserve"> getLogHandler() </t>
  </si>
  <si>
    <t>setImageCut()</t>
  </si>
  <si>
    <t>CutProvider cutProvider</t>
  </si>
  <si>
    <t xml:space="preserve"> setScaleRatio() </t>
  </si>
  <si>
    <t>Double scaleRatio</t>
  </si>
  <si>
    <t xml:space="preserve"> addProperty() </t>
  </si>
  <si>
    <t>String name, 
String value</t>
  </si>
  <si>
    <t xml:space="preserve"> setSaveDebugScreenshots() </t>
  </si>
  <si>
    <t>boolean saveDebugScreenshots</t>
  </si>
  <si>
    <t xml:space="preserve"> setDebugScreenshotsPath()</t>
  </si>
  <si>
    <t>String pathToSave</t>
  </si>
  <si>
    <t xml:space="preserve"> setDebugScreenshotsPrefix()</t>
  </si>
  <si>
    <t>String prefix</t>
  </si>
  <si>
    <t>boolean value</t>
  </si>
  <si>
    <t xml:space="preserve"> setStitchOverlap() </t>
  </si>
  <si>
    <t>int pixels</t>
  </si>
  <si>
    <t>boolean throwEx</t>
  </si>
  <si>
    <t xml:space="preserve"> setHostOS()</t>
  </si>
  <si>
    <t>String hostOS</t>
  </si>
  <si>
    <t xml:space="preserve">setHostApp() </t>
  </si>
  <si>
    <t>String hostApp</t>
  </si>
  <si>
    <t>setBaselineName()</t>
  </si>
  <si>
    <t>String baselineName</t>
  </si>
  <si>
    <t xml:space="preserve">setEnvName() </t>
  </si>
  <si>
    <t>String envName</t>
  </si>
  <si>
    <t xml:space="preserve">setAppEnvironment() </t>
  </si>
  <si>
    <t>String hostOS,
String hostApp</t>
  </si>
  <si>
    <t>PositionProvider positionProvider</t>
  </si>
  <si>
    <t xml:space="preserve"> setPositionProvider()</t>
  </si>
  <si>
    <t xml:space="preserve"> setExplicitViewportSize() </t>
  </si>
  <si>
    <t>RectangleSize explicitViewportSize</t>
  </si>
  <si>
    <t>interface</t>
  </si>
  <si>
    <t>boolean shouldForce</t>
  </si>
  <si>
    <t>int waitBeforeScreenshots</t>
  </si>
  <si>
    <t>boolean shouldScroll</t>
  </si>
  <si>
    <t>setHideScrollbars()</t>
  </si>
  <si>
    <t>ImageRotation rotation</t>
  </si>
  <si>
    <t>WebDriver driver,
String appName, 
String testName,
RectangleSize viewportSize</t>
  </si>
  <si>
    <t>WebDriver driver,
 String appName, 
String testName</t>
  </si>
  <si>
    <t>String tag</t>
  </si>
  <si>
    <t>int matchTimeout, 
String tag</t>
  </si>
  <si>
    <t>WebDriver driver, 
String appName, 
String testName,  
RectangleSize viewportSize</t>
  </si>
  <si>
    <t>WebDriver driver, 
String appName,
 String testName</t>
  </si>
  <si>
    <t>WebDriver driver, 
String testName, 
RectangleSize viewportSize</t>
  </si>
  <si>
    <t>WebDriver driver, String testName</t>
  </si>
  <si>
    <t>final WebDriver driver, 
String appName, 
String testName, 
final WebDriverAction action,
 int deadline,
 int timeout</t>
  </si>
  <si>
    <t>WebDriver driver, 
String appName,    
String testName, 
WebDriverAction action, 
int deadline</t>
  </si>
  <si>
    <t>WebDriver driver, 
String appName,
String testName, 
WebDriverAction action</t>
  </si>
  <si>
    <t>WebDriver driver, 
String appName,
 String testName,
 int deadline</t>
  </si>
  <si>
    <t>WebDriver driver, 
String appName,  
String testName</t>
  </si>
  <si>
    <t>WebDriver driver,
 String appName, 
 String testName, 
WebDriverAction action, 
 int deadline,
 int timeout,      
RectangleSize viewportSize</t>
  </si>
  <si>
    <t>WebDriver driver,
 String appName,  
String testName, 
WebDriverAction action, 
int deadline,
 RectangleSize viewportSize</t>
  </si>
  <si>
    <t>WebDriver driver,
 String appName, 
String testName, 
WebDriverAction action,  
 RectangleSize viewportSize</t>
  </si>
  <si>
    <t>WebDriver driver, 
String appName, 
String testName,
int deadline,
int timeout,
RectangleSize viewportSize</t>
  </si>
  <si>
    <t>WebDriver driver, 
String appName,  
String testName, 
int deadline,   
RectangleSize viewportSize</t>
  </si>
  <si>
    <t>WebDriver driver, 
String appName,  
String testName, 
RectangleSize viewportSize</t>
  </si>
  <si>
    <t>String name, 
ICheckSettings checkSettings</t>
  </si>
  <si>
    <t>Region region</t>
  </si>
  <si>
    <t>final Region region, 
int matchTimeout, 
String tag</t>
  </si>
  <si>
    <t>WebElement element</t>
  </si>
  <si>
    <t>WebElement element, 
boolean stitchContent</t>
  </si>
  <si>
    <t>WebElement element, String tag</t>
  </si>
  <si>
    <t>WebElement element, 
String tag</t>
  </si>
  <si>
    <t>WebElement element, 
String tag, 
boolean stitchContent</t>
  </si>
  <si>
    <t>final WebElement element, int matchTimeout, String tag</t>
  </si>
  <si>
    <t>WebElement element, 
int matchTimeout, 
String tag,
 boolean stitchContent</t>
  </si>
  <si>
    <t>By selector</t>
  </si>
  <si>
    <t>By selector, 
boolean stitchContent</t>
  </si>
  <si>
    <t>By selector, String tag</t>
  </si>
  <si>
    <t>By selector, 
String tag, 
boolean stitchContent</t>
  </si>
  <si>
    <t>By selector, 
int matchTimeout, 
String tag</t>
  </si>
  <si>
    <t>By selector, 
int matchTimeout, 
String tag, 
boolean stitchContent</t>
  </si>
  <si>
    <t>int frameIndex, 
By selector</t>
  </si>
  <si>
    <t>int frameIndex, 
By selector, 
boolean stitchContent</t>
  </si>
  <si>
    <t>int frameIndex, 
By selector, 
String tag</t>
  </si>
  <si>
    <t>int frameIndex,
 By selector, 
String tag, 
boolean stitchContent</t>
  </si>
  <si>
    <t>int frameIndex, 
By selector, 
int matchTimeout, 
String tag</t>
  </si>
  <si>
    <t>int frameIndex,
 By selector,    
int matchTimeout, 
String tag,  
boolean stitchContent</t>
  </si>
  <si>
    <t>String frameNameOrId, 
By selector</t>
  </si>
  <si>
    <t>String frameNameOrId,
 By selector, 
boolean stitchContent</t>
  </si>
  <si>
    <t>String frameNameOrId, 
By selector, 
String tag</t>
  </si>
  <si>
    <t>String frameNameOrId,
 By selector,  
String tag
boolean stitchContent</t>
  </si>
  <si>
    <t>String frameNameOrId, 
By selector, 
int matchTimeout, 
String tag</t>
  </si>
  <si>
    <t>String frameNameOrId, 
By selector,   
int matchTimeout, 
String tag, 
boolean stitchContent</t>
  </si>
  <si>
    <t>WebElement frameReference, 
By selector</t>
  </si>
  <si>
    <t>WebElement frameReference, 
By selector, 
boolean stitchContent</t>
  </si>
  <si>
    <t>WebElement frameReference, 
By selector, 
String tag</t>
  </si>
  <si>
    <t>WebElement frameReference, 
By selector, 
String tag, 
boolean stitchContent</t>
  </si>
  <si>
    <t>WebElement frameReference,
 By selector</t>
  </si>
  <si>
    <t>WebElement frameReference,
 By selector, 
int matchTimeout, 
String tag</t>
  </si>
  <si>
    <t>WebElement frameReference, 
By selector, 
int matchTimeout, 
String tag, 
boolean stitchContent</t>
  </si>
  <si>
    <t>WebElement frameReference, 
By selector, 
int matchTimeout, 
String tag,
 boolean stitchContent</t>
  </si>
  <si>
    <t>String frameNameOrId</t>
  </si>
  <si>
    <t>String frameNameOrId, String tag</t>
  </si>
  <si>
    <t>String frameNameOrId, int matchTimeout, String tag</t>
  </si>
  <si>
    <t>int frameIndex</t>
  </si>
  <si>
    <t>int frameIndex, String tag</t>
  </si>
  <si>
    <t>int frameIndex, 
int matchTimeout, 
String tag</t>
  </si>
  <si>
    <t>WebElement frameReference</t>
  </si>
  <si>
    <t>WebElement frameReference, 
String tag</t>
  </si>
  <si>
    <t>WebElement frameReference, 
int matchTimeout,</t>
  </si>
  <si>
    <t>String[] framePath, 
int matchTimeout, 
String tag</t>
  </si>
  <si>
    <t>String[] framesPath, 
String tag</t>
  </si>
  <si>
    <t>String[] framesPath</t>
  </si>
  <si>
    <t>String[] framePath, 
By selector</t>
  </si>
  <si>
    <t>(String[] framePath, 
By selector, 
int matchTimeout, 
String tag</t>
  </si>
  <si>
    <t>String[] framePath, 
By selector, 
String tag)</t>
  </si>
  <si>
    <t>WebElement element, 
int matchTimeout, 
String tag</t>
  </si>
  <si>
    <t>By selector, 
String tag</t>
  </si>
  <si>
    <t>MouseAction action, 
Region control, 
Location cursor</t>
  </si>
  <si>
    <t>MouseAction action, 
WebElement element</t>
  </si>
  <si>
    <t>Region control, 
String text</t>
  </si>
  <si>
    <t>WebElement element,
String text</t>
  </si>
  <si>
    <t>WebDriver driver)</t>
  </si>
  <si>
    <t>WebDriver driver, 
RectangleSize size</t>
  </si>
  <si>
    <t>getElementPositionProviderI()</t>
  </si>
  <si>
    <t xml:space="preserve">setSaveFailedTests() </t>
  </si>
  <si>
    <t xml:space="preserve">setIgnoreCaret() </t>
  </si>
  <si>
    <t xml:space="preserve">getHostOS() </t>
  </si>
  <si>
    <t xml:space="preserve">getHostApp() </t>
  </si>
  <si>
    <t xml:space="preserve">getBaselineName() </t>
  </si>
  <si>
    <t xml:space="preserve">getBaselineEnvName() </t>
  </si>
  <si>
    <t xml:space="preserve">getEnvName() </t>
  </si>
  <si>
    <t xml:space="preserve"> static final double UNKNOWN_DEVICE_PIXEL_RATIO = 0;</t>
  </si>
  <si>
    <t xml:space="preserve"> static final double DEFAULT_DEVICE_PIXEL_RATIO = 1;</t>
  </si>
  <si>
    <t xml:space="preserve">shouldStitchContent() </t>
  </si>
  <si>
    <t xml:space="preserve"> Eyes()</t>
  </si>
  <si>
    <t>getBaseAgentId()</t>
  </si>
  <si>
    <t>getDriver()</t>
  </si>
  <si>
    <t>setForceFullPageScreenshot()</t>
  </si>
  <si>
    <t>getForceFullPageScreenshot()</t>
  </si>
  <si>
    <t>setWaitBeforeScreenshots()</t>
  </si>
  <si>
    <t>getWaitBeforeScreenshots()</t>
  </si>
  <si>
    <t>setScrollToRegion()</t>
  </si>
  <si>
    <t>getScrollToRegion()</t>
  </si>
  <si>
    <t>setStitchMode()</t>
  </si>
  <si>
    <t>getStitchMode()</t>
  </si>
  <si>
    <t>getHideScrollbars()</t>
  </si>
  <si>
    <t>getRotation()</t>
  </si>
  <si>
    <t>setRotation()</t>
  </si>
  <si>
    <t>getDevicePixelRatio()</t>
  </si>
  <si>
    <t>open()</t>
  </si>
  <si>
    <t>checkWindow()</t>
  </si>
  <si>
    <t>testWindow()</t>
  </si>
  <si>
    <t>testResponseTime()</t>
  </si>
  <si>
    <t xml:space="preserve">check() </t>
  </si>
  <si>
    <t>checkRegion()</t>
  </si>
  <si>
    <t>checkRegionInFrame()</t>
  </si>
  <si>
    <t>checkFrame()</t>
  </si>
  <si>
    <t>checkElement()</t>
  </si>
  <si>
    <t>addMouseTrigger()</t>
  </si>
  <si>
    <t>addTextTrigger()</t>
  </si>
  <si>
    <t>getViewportSize()</t>
  </si>
  <si>
    <t xml:space="preserve"> getViewportSize(</t>
  </si>
  <si>
    <t>staticsetViewportSize()</t>
  </si>
  <si>
    <t>playbackControl</t>
  </si>
  <si>
    <t>what does this do ? 
How is a result returned</t>
  </si>
  <si>
    <t>INTERNAL</t>
  </si>
  <si>
    <t>mainly because of android - turning the screen around</t>
  </si>
  <si>
    <t>class</t>
  </si>
  <si>
    <t>return</t>
  </si>
  <si>
    <t>function</t>
  </si>
  <si>
    <t>parameters</t>
  </si>
  <si>
    <t>question</t>
  </si>
  <si>
    <t>constructor</t>
  </si>
  <si>
    <t>base-advanced</t>
  </si>
  <si>
    <t>z_internal</t>
  </si>
  <si>
    <t>z_debug</t>
  </si>
  <si>
    <t>zz_deprecated</t>
  </si>
  <si>
    <t>_tbd</t>
  </si>
  <si>
    <t>match_tuning</t>
  </si>
  <si>
    <t>match_management</t>
  </si>
  <si>
    <t>group-order</t>
  </si>
  <si>
    <t>use case ?</t>
  </si>
  <si>
    <t>Aplitools Wiki</t>
  </si>
  <si>
    <t>http://support.applitools.com/customer/portal/articles/2285997</t>
  </si>
  <si>
    <t>Image comparison stand-alone tool</t>
  </si>
  <si>
    <t>Web Testing Stand-alone tool</t>
  </si>
  <si>
    <t>Oct 31, 2016 </t>
  </si>
  <si>
    <t>http://support.applitools.com/customer/portal/articles/2356078</t>
  </si>
  <si>
    <t>CheckRegion in nested frames</t>
  </si>
  <si>
    <t>http://support.applitools.com/customer/portal/articles/2110085</t>
  </si>
  <si>
    <t>https://applitools.atlassian.net/wiki/spaces/Java/pages/1540312/Selenium+-+Java</t>
  </si>
  <si>
    <t>Selenium - Java</t>
  </si>
  <si>
    <t>Jan 19, 2017 </t>
  </si>
  <si>
    <t>Selenium - Ruby</t>
  </si>
  <si>
    <t> May 25, 2017</t>
  </si>
  <si>
    <t>https://applitools.atlassian.net/wiki/spaces/Java/pages/1540753/Selenium+-+Ruby</t>
  </si>
  <si>
    <t>Selenium - Python</t>
  </si>
  <si>
    <t>https://applitools.atlassian.net/wiki/spaces/Java/pages/1540306/Selenium+-+Python</t>
  </si>
  <si>
    <t>Selenium - .Net</t>
  </si>
  <si>
    <t>https://applitools.atlassian.net/wiki/spaces/Java/pages/1540146/Selenium+-+.Net</t>
  </si>
  <si>
    <t>Selenium - JavaScript</t>
  </si>
  <si>
    <t> Jan 19, 2017</t>
  </si>
  <si>
    <t>https://applitools.atlassian.net/wiki/spaces/Java/pages/1540328/Selenium+-+JavaScript</t>
  </si>
  <si>
    <t>Appium - Java</t>
  </si>
  <si>
    <t>https://applitools.atlassian.net/wiki/spaces/Java/pages/1540331/Appium+-+Java</t>
  </si>
  <si>
    <t> Dec 25, 2016</t>
  </si>
  <si>
    <t>Appium - Ruby</t>
  </si>
  <si>
    <t> Aug 13, 2017</t>
  </si>
  <si>
    <t>https://applitools.atlassian.net/wiki/spaces/Java/pages/1540547/Appium+-+Ruby</t>
  </si>
  <si>
    <t>Appium - Python</t>
  </si>
  <si>
    <t> Dec 25, 2016 </t>
  </si>
  <si>
    <t>https://applitools.atlassian.net/wiki/spaces/Java/pages/1540679/Appium+-+Python</t>
  </si>
  <si>
    <t> Aug 13, 2017 </t>
  </si>
  <si>
    <t>Appium - NET</t>
  </si>
  <si>
    <t xml:space="preserve">https://applitools.atlassian.net/wiki/spaces/Java/pages/1540300/Appium+-+JavaScript
</t>
  </si>
  <si>
    <t>Appium - JavaScript</t>
  </si>
  <si>
    <t>https://applitools.atlassian.net/wiki/spaces/Java/pages/1540302/Appium</t>
  </si>
  <si>
    <t>link to ".net" leads to Ruby</t>
  </si>
  <si>
    <t>QTP / UFT</t>
  </si>
  <si>
    <t> May 25, 2016</t>
  </si>
  <si>
    <t>https://applitools.atlassian.net/wiki/spaces/Java/pages/1540511/QTP+UFT</t>
  </si>
  <si>
    <t>https://applitools.atlassian.net/wiki/spaces/Java/pages/1540499/LeanFT</t>
  </si>
  <si>
    <t> Jan 21, 2017 </t>
  </si>
  <si>
    <t>LeanFT</t>
  </si>
  <si>
    <t>Microsoft coded UI - .Net</t>
  </si>
  <si>
    <t> Aug 16, 2016</t>
  </si>
  <si>
    <t>https://applitools.atlassian.net/wiki/spaces/Java/pages/1540487/Microsoft+coded+UI+-+.Net</t>
  </si>
  <si>
    <t>Images SDKs - Java</t>
  </si>
  <si>
    <t> Jul 27, 2016</t>
  </si>
  <si>
    <t>https://applitools.atlassian.net/wiki/spaces/Java/pages/1540579/Images+SDKs+-+Java</t>
  </si>
  <si>
    <t>Images SDKs - .Net</t>
  </si>
  <si>
    <t> Jan 03, 2017 </t>
  </si>
  <si>
    <t>https://applitools.atlassian.net/wiki/spaces/Java/pages/1540573/Images+SDKs+-+.Net</t>
  </si>
  <si>
    <t>Images SDKs - JavaScript</t>
  </si>
  <si>
    <t> Sep 28, 2016</t>
  </si>
  <si>
    <t>https://applitools.atlassian.net/wiki/spaces/Java/pages/1540555/Images+SDKs+-+JavaScript</t>
  </si>
  <si>
    <t>Process SDKs - .Net</t>
  </si>
  <si>
    <t> Jul 27, 2016 </t>
  </si>
  <si>
    <t>https://applitools.atlassian.net/wiki/spaces/Java/pages/1540560/Process+SDKs+-+.Net</t>
  </si>
  <si>
    <t>https://applitools.atlassian.net/wiki/spaces/Java/overview</t>
  </si>
  <si>
    <t>SDkGuide</t>
  </si>
  <si>
    <t>https://applitools.atlassian.net/wiki/spaces/Java/pages/1540852/SDK+Guide</t>
  </si>
  <si>
    <t>http://support.applitools.com/</t>
  </si>
  <si>
    <t>Support Center</t>
  </si>
  <si>
    <t>FAQ</t>
  </si>
  <si>
    <t>http://support.applitools.com/customer/en/portal/topics/546074-faq/articles?t=628019</t>
  </si>
  <si>
    <t>Documentation</t>
  </si>
  <si>
    <t>Point to an index page with SDK, Support Portal, Tutorials, Vide Tutorials</t>
  </si>
  <si>
    <t>https://applitools.com/resources/tutorial</t>
  </si>
  <si>
    <t>Tutorials</t>
  </si>
  <si>
    <t>/resources/tutorial/selenium/javascript</t>
  </si>
  <si>
    <t>Selenium Javascript</t>
  </si>
  <si>
    <t>Selenium C#</t>
  </si>
  <si>
    <t>/resources/tutorial/selenium/dotnet</t>
  </si>
  <si>
    <t>/resources/tutorial/selenium/php</t>
  </si>
  <si>
    <t>Selenium PHP</t>
  </si>
  <si>
    <t>/resources/tutorial/selenium/python</t>
  </si>
  <si>
    <t>Selenium Python</t>
  </si>
  <si>
    <t>etc…… see view-source:https://applitools.com/resources/tutorial/selenium/php#step-2</t>
  </si>
  <si>
    <t>etc</t>
  </si>
  <si>
    <t>base-control</t>
  </si>
  <si>
    <t>compares and contasts testWindow(), to checkXXXXX</t>
  </si>
  <si>
    <t>defines how the client can control the area of the application output that is matched, defines Windows,Frames, Regions and elements</t>
  </si>
  <si>
    <t>Minimimal set for commands that are used often and "almost" must have, notion of what must be called before open and what can be closed at any time</t>
  </si>
  <si>
    <r>
      <t xml:space="preserve">     * See {</t>
    </r>
    <r>
      <rPr>
        <b/>
        <sz val="11"/>
        <color theme="1"/>
        <rFont val="Calibri"/>
        <family val="3"/>
        <scheme val="minor"/>
      </rPr>
      <t xml:space="preserve">@link </t>
    </r>
    <r>
      <rPr>
        <sz val="11"/>
        <color theme="1"/>
        <rFont val="Calibri"/>
        <family val="3"/>
        <scheme val="minor"/>
      </rPr>
      <t>#open(WebDriver, String, String, RectangleSize, SessionType)}.      * {@code sessionType} defaults to {@code null}.</t>
    </r>
  </si>
  <si>
    <r>
      <t xml:space="preserve">     * See {</t>
    </r>
    <r>
      <rPr>
        <b/>
        <sz val="11"/>
        <color theme="1"/>
        <rFont val="Calibri"/>
        <family val="3"/>
        <scheme val="minor"/>
      </rPr>
      <t xml:space="preserve">@link </t>
    </r>
    <r>
      <rPr>
        <sz val="11"/>
        <color theme="1"/>
        <rFont val="Calibri"/>
        <family val="3"/>
        <scheme val="minor"/>
      </rPr>
      <t>#open(WebDriver, String, String, SessionType)}. {@code viewportSize} defaults to {@code null}. {@code sessionType} defaults to {@code null}.</t>
    </r>
  </si>
  <si>
    <r>
      <t xml:space="preserve"> </t>
    </r>
    <r>
      <rPr>
        <sz val="11"/>
        <color rgb="FF000000"/>
        <rFont val="Calibri"/>
        <family val="3"/>
        <scheme val="minor"/>
      </rPr>
      <t xml:space="preserve">getIsOpen() </t>
    </r>
  </si>
  <si>
    <r>
      <t xml:space="preserve">     * See {</t>
    </r>
    <r>
      <rPr>
        <b/>
        <sz val="11"/>
        <color theme="1"/>
        <rFont val="Calibri"/>
        <family val="3"/>
        <scheme val="minor"/>
      </rPr>
      <t xml:space="preserve">@link </t>
    </r>
    <r>
      <rPr>
        <sz val="11"/>
        <color theme="1"/>
        <rFont val="Calibri"/>
        <family val="3"/>
        <scheme val="minor"/>
      </rPr>
      <t>#checkWindow(int, String)}.  Default match timeout is used.
@param tag An optional tag to be associated with the snapshot.</t>
    </r>
  </si>
  <si>
    <r>
      <t xml:space="preserve"> close(</t>
    </r>
    <r>
      <rPr>
        <sz val="11"/>
        <color theme="1"/>
        <rFont val="Calibri"/>
        <family val="3"/>
        <scheme val="minor"/>
      </rPr>
      <t xml:space="preserve">) </t>
    </r>
  </si>
  <si>
    <r>
      <t xml:space="preserve">     * See {</t>
    </r>
    <r>
      <rPr>
        <b/>
        <sz val="11"/>
        <color theme="1"/>
        <rFont val="Calibri"/>
        <family val="3"/>
        <scheme val="minor"/>
      </rPr>
      <t xml:space="preserve">@link </t>
    </r>
    <r>
      <rPr>
        <sz val="11"/>
        <color theme="1"/>
        <rFont val="Calibri"/>
        <family val="3"/>
        <scheme val="minor"/>
      </rPr>
      <t>#testWindow(WebDriver, String, String, RectangleSize)}.  {@code viewportSize} defaults to {@code null}.</t>
    </r>
  </si>
  <si>
    <r>
      <t xml:space="preserve">     * See {</t>
    </r>
    <r>
      <rPr>
        <b/>
        <sz val="11"/>
        <color theme="1"/>
        <rFont val="Calibri"/>
        <family val="3"/>
        <scheme val="minor"/>
      </rPr>
      <t xml:space="preserve">@link </t>
    </r>
    <r>
      <rPr>
        <sz val="11"/>
        <color theme="1"/>
        <rFont val="Calibri"/>
        <family val="3"/>
        <scheme val="minor"/>
      </rPr>
      <t>#testWindow(WebDriver, String, RectangleSize)}. {@code viewportSize} defaults to {@code null}.</t>
    </r>
  </si>
  <si>
    <r>
      <t xml:space="preserve">     * See {</t>
    </r>
    <r>
      <rPr>
        <b/>
        <sz val="11"/>
        <color theme="1"/>
        <rFont val="Calibri"/>
        <family val="3"/>
        <scheme val="minor"/>
      </rPr>
      <t xml:space="preserve">@link </t>
    </r>
    <r>
      <rPr>
        <sz val="11"/>
        <color theme="1"/>
        <rFont val="Calibri"/>
        <family val="3"/>
        <scheme val="minor"/>
      </rPr>
      <t>#testWindow(WebDriver, String, String, RectangleSize)}. {@code appName} defaults to {@code null} (which means the name set in {@link #setAppName(String)} would be used.</t>
    </r>
  </si>
  <si>
    <r>
      <t xml:space="preserve"> </t>
    </r>
    <r>
      <rPr>
        <sz val="11"/>
        <color rgb="FF000000"/>
        <rFont val="Calibri"/>
        <family val="3"/>
        <scheme val="minor"/>
      </rPr>
      <t xml:space="preserve">getSaveFailedTests() </t>
    </r>
  </si>
  <si>
    <r>
      <t xml:space="preserve"> </t>
    </r>
    <r>
      <rPr>
        <sz val="11"/>
        <color rgb="FF000000"/>
        <rFont val="Calibri"/>
        <family val="3"/>
        <scheme val="minor"/>
      </rPr>
      <t>getSaveNewTests()</t>
    </r>
  </si>
  <si>
    <r>
      <t xml:space="preserve"> </t>
    </r>
    <r>
      <rPr>
        <sz val="11"/>
        <color rgb="FF000000"/>
        <rFont val="Calibri"/>
        <family val="3"/>
        <scheme val="minor"/>
      </rPr>
      <t xml:space="preserve">getIgnoreCaret() </t>
    </r>
  </si>
  <si>
    <r>
      <t xml:space="preserve">     * </t>
    </r>
    <r>
      <rPr>
        <b/>
        <sz val="11"/>
        <color theme="1"/>
        <rFont val="Calibri"/>
        <family val="3"/>
        <scheme val="minor"/>
      </rPr>
      <t xml:space="preserve">@return </t>
    </r>
    <r>
      <rPr>
        <sz val="11"/>
        <color theme="1"/>
        <rFont val="Calibri"/>
        <family val="3"/>
        <scheme val="minor"/>
      </rPr>
      <t>Whether or not scrollbars are hidden when taking screenshots.</t>
    </r>
  </si>
  <si>
    <r>
      <t xml:space="preserve">     * </t>
    </r>
    <r>
      <rPr>
        <b/>
        <sz val="11"/>
        <color theme="1"/>
        <rFont val="Calibri"/>
        <family val="3"/>
        <scheme val="minor"/>
      </rPr>
      <t xml:space="preserve">@return </t>
    </r>
    <r>
      <rPr>
        <sz val="11"/>
        <color theme="1"/>
        <rFont val="Calibri"/>
        <family val="3"/>
        <scheme val="minor"/>
      </rPr>
      <t>The image rotation data.</t>
    </r>
  </si>
  <si>
    <r>
      <t xml:space="preserve">boolean </t>
    </r>
    <r>
      <rPr>
        <sz val="11"/>
        <color rgb="FF000000"/>
        <rFont val="Calibri"/>
        <family val="3"/>
        <scheme val="minor"/>
      </rPr>
      <t>shouldHide</t>
    </r>
  </si>
  <si>
    <r>
      <t xml:space="preserve">     * </t>
    </r>
    <r>
      <rPr>
        <b/>
        <sz val="11"/>
        <color theme="1"/>
        <rFont val="Calibri"/>
        <family val="3"/>
        <scheme val="minor"/>
      </rPr>
      <t xml:space="preserve">@param </t>
    </r>
    <r>
      <rPr>
        <b/>
        <sz val="11"/>
        <color rgb="FF3D3D3D"/>
        <rFont val="Calibri"/>
        <family val="3"/>
        <scheme val="minor"/>
      </rPr>
      <t xml:space="preserve">rotation </t>
    </r>
    <r>
      <rPr>
        <sz val="11"/>
        <color theme="1"/>
        <rFont val="Calibri"/>
        <family val="3"/>
        <scheme val="minor"/>
      </rPr>
      <t>The image rotation data.</t>
    </r>
  </si>
  <si>
    <r>
      <t xml:space="preserve"> </t>
    </r>
    <r>
      <rPr>
        <sz val="11"/>
        <color rgb="FF000000"/>
        <rFont val="Calibri"/>
        <family val="3"/>
        <scheme val="minor"/>
      </rPr>
      <t xml:space="preserve">getStitchOverlap() </t>
    </r>
  </si>
  <si>
    <r>
      <t>Use this method only if you made a previous call to {</t>
    </r>
    <r>
      <rPr>
        <b/>
        <sz val="11"/>
        <color theme="1"/>
        <rFont val="Calibri"/>
        <family val="3"/>
        <scheme val="minor"/>
      </rPr>
      <t xml:space="preserve">@link </t>
    </r>
    <r>
      <rPr>
        <sz val="11"/>
        <color theme="1"/>
        <rFont val="Calibri"/>
        <family val="3"/>
        <scheme val="minor"/>
      </rPr>
      <t>#open (WebDriver, String, String)} or one of its variants. &lt;p&gt;  {</t>
    </r>
    <r>
      <rPr>
        <b/>
        <sz val="11"/>
        <color theme="1"/>
        <rFont val="Calibri"/>
        <family val="3"/>
        <scheme val="minor"/>
      </rPr>
      <t>@inheritDoc</t>
    </r>
    <r>
      <rPr>
        <sz val="11"/>
        <color theme="1"/>
        <rFont val="Calibri"/>
        <family val="3"/>
        <scheme val="minor"/>
      </rPr>
      <t>}</t>
    </r>
  </si>
  <si>
    <r>
      <t xml:space="preserve">     * </t>
    </r>
    <r>
      <rPr>
        <b/>
        <sz val="11"/>
        <color theme="1"/>
        <rFont val="Calibri"/>
        <family val="3"/>
        <scheme val="minor"/>
      </rPr>
      <t xml:space="preserve">@return </t>
    </r>
    <r>
      <rPr>
        <sz val="11"/>
        <color theme="1"/>
        <rFont val="Calibri"/>
        <family val="3"/>
        <scheme val="minor"/>
      </rPr>
      <t>Whether to automatically scroll to a region being validated.</t>
    </r>
  </si>
  <si>
    <r>
      <t xml:space="preserve">     * </t>
    </r>
    <r>
      <rPr>
        <b/>
        <sz val="11"/>
        <color theme="1"/>
        <rFont val="Calibri"/>
        <family val="3"/>
        <scheme val="minor"/>
      </rPr>
      <t xml:space="preserve">@return </t>
    </r>
    <r>
      <rPr>
        <sz val="11"/>
        <color theme="1"/>
        <rFont val="Calibri"/>
        <family val="3"/>
        <scheme val="minor"/>
      </rPr>
      <t>The current stitch mode settings.</t>
    </r>
  </si>
  <si>
    <r>
      <t xml:space="preserve"> </t>
    </r>
    <r>
      <rPr>
        <sz val="11"/>
        <color rgb="FF000000"/>
        <rFont val="Calibri"/>
        <family val="3"/>
        <scheme val="minor"/>
      </rPr>
      <t xml:space="preserve">getScaleRatio() </t>
    </r>
  </si>
  <si>
    <r>
      <t xml:space="preserve">     * </t>
    </r>
    <r>
      <rPr>
        <b/>
        <sz val="11"/>
        <color theme="1"/>
        <rFont val="Calibri"/>
        <family val="3"/>
        <scheme val="minor"/>
      </rPr>
      <t xml:space="preserve">@return </t>
    </r>
    <r>
      <rPr>
        <sz val="11"/>
        <color theme="1"/>
        <rFont val="Calibri"/>
        <family val="3"/>
        <scheme val="minor"/>
      </rPr>
      <t>The device pixel ratio, or {</t>
    </r>
    <r>
      <rPr>
        <b/>
        <sz val="11"/>
        <color theme="1"/>
        <rFont val="Calibri"/>
        <family val="3"/>
        <scheme val="minor"/>
      </rPr>
      <t xml:space="preserve">@link </t>
    </r>
    <r>
      <rPr>
        <sz val="11"/>
        <color theme="1"/>
        <rFont val="Calibri"/>
        <family val="3"/>
        <scheme val="minor"/>
      </rPr>
      <t>#UNKNOWN_DEVICE_PIXEL_RATIO}      * if the DPR is not known yet or if it wasn't possible to extract it.</t>
    </r>
  </si>
  <si>
    <r>
      <t xml:space="preserve"> </t>
    </r>
    <r>
      <rPr>
        <sz val="11"/>
        <color rgb="FF000000"/>
        <rFont val="Calibri"/>
        <family val="3"/>
        <scheme val="minor"/>
      </rPr>
      <t xml:space="preserve">getIsDisabled() </t>
    </r>
  </si>
  <si>
    <r>
      <t xml:space="preserve"> </t>
    </r>
    <r>
      <rPr>
        <sz val="11"/>
        <color rgb="FF000000"/>
        <rFont val="Calibri"/>
        <family val="3"/>
        <scheme val="minor"/>
      </rPr>
      <t xml:space="preserve">getMatchTimeout() </t>
    </r>
  </si>
  <si>
    <r>
      <t xml:space="preserve"> </t>
    </r>
    <r>
      <rPr>
        <sz val="11"/>
        <color rgb="FF000000"/>
        <rFont val="Calibri"/>
        <family val="3"/>
        <scheme val="minor"/>
      </rPr>
      <t xml:space="preserve">getSaveDebugScreenshots() </t>
    </r>
  </si>
  <si>
    <r>
      <t xml:space="preserve">* @param </t>
    </r>
    <r>
      <rPr>
        <sz val="11"/>
        <color rgb="FF3D3D3D"/>
        <rFont val="Calibri"/>
        <family val="2"/>
        <scheme val="minor"/>
      </rPr>
      <t xml:space="preserve">prefix </t>
    </r>
    <r>
      <rPr>
        <sz val="11"/>
        <color theme="1"/>
        <rFont val="Calibri"/>
        <family val="2"/>
        <scheme val="minor"/>
      </rPr>
      <t>The prefix for the screenshots' names.</t>
    </r>
  </si>
  <si>
    <r>
      <t xml:space="preserve">@param </t>
    </r>
    <r>
      <rPr>
        <sz val="11"/>
        <color rgb="FF3D3D3D"/>
        <rFont val="Calibri"/>
        <family val="2"/>
        <scheme val="minor"/>
      </rPr>
      <t xml:space="preserve">saveDebugScreenshots </t>
    </r>
    <r>
      <rPr>
        <sz val="11"/>
        <color theme="1"/>
        <rFont val="Calibri"/>
        <family val="2"/>
        <scheme val="minor"/>
      </rPr>
      <t>If true, will save all screenshots to local directory.</t>
    </r>
  </si>
  <si>
    <r>
      <t xml:space="preserve">* @param </t>
    </r>
    <r>
      <rPr>
        <sz val="11"/>
        <color rgb="FF3D3D3D"/>
        <rFont val="Calibri"/>
        <family val="2"/>
        <scheme val="minor"/>
      </rPr>
      <t xml:space="preserve">positionProvider </t>
    </r>
    <r>
      <rPr>
        <sz val="11"/>
        <color theme="1"/>
        <rFont val="Calibri"/>
        <family val="2"/>
        <scheme val="minor"/>
      </rPr>
      <t>The position provider to be used.</t>
    </r>
  </si>
  <si>
    <t>topic</t>
  </si>
  <si>
    <t>Functions that return a match result and the TestResults class</t>
  </si>
  <si>
    <t>first steps in the UI tool</t>
  </si>
  <si>
    <t>Basic Test Scenario</t>
  </si>
  <si>
    <t>show the top level of what a test looks like and how it integrates with the test running environment</t>
  </si>
  <si>
    <t>where to get it, best practices in how to manage it</t>
  </si>
  <si>
    <t>Obtaining Best Results</t>
  </si>
  <si>
    <t>Explains why matching is not simply checking pixel levels - intro to the various tools Eyes provides to control matching</t>
  </si>
  <si>
    <t>Managing tests and Results</t>
  </si>
  <si>
    <t>Platform Configuration</t>
  </si>
  <si>
    <t>changing scale and rotation, stitching</t>
  </si>
  <si>
    <t>confiugration that determines if failures are reported immediately or only when the test is closed</t>
  </si>
  <si>
    <t>If its immediate how are the result returned ? Only as an exception ?</t>
  </si>
  <si>
    <t>internal_debug</t>
  </si>
  <si>
    <t>used only in testResponseTime</t>
  </si>
  <si>
    <t>Row Labels</t>
  </si>
  <si>
    <t>key</t>
  </si>
  <si>
    <t>1_1 test Startup and wrapup</t>
  </si>
  <si>
    <t>1_2 Ways to initiate Matches</t>
  </si>
  <si>
    <t>1_3 obtaining match results</t>
  </si>
  <si>
    <t xml:space="preserve">1_4 viewing match results </t>
  </si>
  <si>
    <t>1_5 basic test configuration</t>
  </si>
  <si>
    <t>2_1 Why is Matching Hard ?</t>
  </si>
  <si>
    <t>2_2 Match Levels</t>
  </si>
  <si>
    <t>2_3 MatchingUnitsTypes</t>
  </si>
  <si>
    <t>3_1 Baselines</t>
  </si>
  <si>
    <t>3_2 Branches</t>
  </si>
  <si>
    <t>3_3 User Defined Properties</t>
  </si>
  <si>
    <t>3_4 Batches</t>
  </si>
  <si>
    <t>3_5 Trigger Information</t>
  </si>
  <si>
    <t>3_6 Controling the test sequence</t>
  </si>
  <si>
    <t>4_2 Timing and Performance Considerations</t>
  </si>
  <si>
    <t>4_3 Client Debug Environment</t>
  </si>
  <si>
    <t>4_4 Server Access Configuration</t>
  </si>
  <si>
    <t>5_1 Storing images results locally</t>
  </si>
  <si>
    <t>Count of key</t>
  </si>
  <si>
    <t>Target</t>
  </si>
  <si>
    <t>4_1 Screenshot Configuration</t>
  </si>
  <si>
    <t>2_4 Match Filtering</t>
  </si>
  <si>
    <t>Explains how certain aspected of the screen image can be masked so as to reduce the amount of false alarms, e.g. cursor and scrollbars</t>
  </si>
  <si>
    <t>@param appName The name of the application under test (used instead of passing a parameter to open)</t>
  </si>
  <si>
    <t>when is this necessary ?</t>
  </si>
  <si>
    <r>
      <t xml:space="preserve">@param </t>
    </r>
    <r>
      <rPr>
        <sz val="11"/>
        <color rgb="FF3D3D3D"/>
        <rFont val="Calibri"/>
        <family val="2"/>
        <scheme val="minor"/>
      </rPr>
      <t xml:space="preserve">hostOS </t>
    </r>
    <r>
      <rPr>
        <sz val="11"/>
        <color theme="1"/>
        <rFont val="Calibri"/>
        <family val="2"/>
        <scheme val="minor"/>
      </rPr>
      <t xml:space="preserve">The host OS running the AUT. Overides the default which is extracted implicitly from the infrastructure. </t>
    </r>
  </si>
  <si>
    <r>
      <t xml:space="preserve">* @param </t>
    </r>
    <r>
      <rPr>
        <sz val="11"/>
        <color rgb="FF3D3D3D"/>
        <rFont val="Calibri"/>
        <family val="2"/>
        <scheme val="minor"/>
      </rPr>
      <t xml:space="preserve">hostApp </t>
    </r>
    <r>
      <rPr>
        <sz val="11"/>
        <color theme="1"/>
        <rFont val="Calibri"/>
        <family val="2"/>
        <scheme val="minor"/>
      </rPr>
      <t xml:space="preserve">The application running the AUT (e.g., Chrome). Hus overides the default which is extracted implicitly from the infrastructure. </t>
    </r>
  </si>
  <si>
    <t>more explanation required as how and when this is used</t>
  </si>
  <si>
    <t xml:space="preserve">
What if not called ?</t>
  </si>
  <si>
    <t xml:space="preserve">Set whether or not new tests are saved as a baseline if they match.
 @param saveNewTests True if new tests should be saved by default. False otherwise. 
</t>
  </si>
  <si>
    <t xml:space="preserve">Set whether or not failed tests are saved as a new baseline  or not
     * @param saveFailedTests True if failed tests should be saved by default, false otherwise.
</t>
  </si>
  <si>
    <t>not really in use at the moment - document it ?</t>
  </si>
  <si>
    <t>This is a tool provided for use by Support Engineers and is not intended for customer use</t>
  </si>
  <si>
    <t>this is for customer support should it appear in the customer documentation ?</t>
  </si>
  <si>
    <t>external</t>
  </si>
  <si>
    <t xml:space="preserve"> </t>
  </si>
  <si>
    <t>Window</t>
  </si>
  <si>
    <t>A window in API technology is what you see in the browser. Depending in the mode, this can either be the viewport - what you actually see, or the entire image which there if the screen was large enough and you didn’t need scroll bars</t>
  </si>
  <si>
    <t>testWindow vs checkXXXX quick mention that there are various check APIs (Fluent vs traditional)</t>
  </si>
  <si>
    <t>Takes a snapshot of the application under test and matches a specific
     * element with the expected region output.
     * @param element      The element to check. ANything addressable in the DOM
     * @param matchTimeout The amount of time to retry matching. (Milliseconds)
     * @param tag          An optional tag to be associated with the snapshot.
     * @throws TestFailedException if a mismatch is detected and immediate failure reports are enabled</t>
  </si>
  <si>
    <t xml:space="preserve"> Used for I-Frame elements. Matches the frame given by the frames path, by switching into the frame
     * and using stitching to get an image of the frame.
     * @param framePath    The path to the frame to check. This is a list of
     *                     frame names/IDs (where each frame is nested in the
     *                     previous frame).
     * @param matchTimeout The amount of time to retry matching (milliseconds).
     * @param tag          An optional tag to be associated with the match</t>
  </si>
  <si>
    <t>Takes a snapshot of the application under test and matches a region (a rectangular area within the window) specified by the given selector with the expected region output.
     * @param selector     Selects the region to check.
     * @param matchTimeout The amount of time to retry matching. (Milliseconds)
     * @param tag          An optional tag to be associated with the screenshot.
     * @throws TestFailedException if a mismatch is detected and immediate failure reports are enabled</t>
  </si>
  <si>
    <t>An instance of ICheckSettings</t>
  </si>
  <si>
    <t>@return The match settings used for the session. Applicable when the MatchSetting is "EXACT"</t>
  </si>
  <si>
    <t>CoordinatesTypeConversionException</t>
  </si>
  <si>
    <r>
      <t>TestFailedException</t>
    </r>
    <r>
      <rPr>
        <sz val="9"/>
        <color rgb="FF24292E"/>
        <rFont val="Consolas"/>
        <family val="3"/>
      </rPr>
      <t xml:space="preserve"> </t>
    </r>
  </si>
  <si>
    <r>
      <t>NewTestException</t>
    </r>
    <r>
      <rPr>
        <sz val="9"/>
        <color rgb="FF24292E"/>
        <rFont val="Consolas"/>
        <family val="3"/>
      </rPr>
      <t xml:space="preserve"> </t>
    </r>
  </si>
  <si>
    <r>
      <t xml:space="preserve">TestResults </t>
    </r>
    <r>
      <rPr>
        <sz val="9"/>
        <color rgb="FFE36209"/>
        <rFont val="Consolas"/>
        <family val="3"/>
      </rPr>
      <t>testResults</t>
    </r>
    <r>
      <rPr>
        <sz val="9"/>
        <color rgb="FF24292E"/>
        <rFont val="Consolas"/>
        <family val="3"/>
      </rPr>
      <t>,</t>
    </r>
  </si>
  <si>
    <r>
      <t xml:space="preserve">String </t>
    </r>
    <r>
      <rPr>
        <sz val="9"/>
        <color rgb="FFE36209"/>
        <rFont val="Consolas"/>
        <family val="3"/>
      </rPr>
      <t>message</t>
    </r>
  </si>
  <si>
    <t>Screen</t>
  </si>
  <si>
    <t>Panel</t>
  </si>
  <si>
    <t>Test Manager</t>
  </si>
  <si>
    <t>Batch Viewer</t>
  </si>
  <si>
    <t>Top Bar</t>
  </si>
  <si>
    <t>menu</t>
  </si>
  <si>
    <t>My API Key</t>
  </si>
  <si>
    <t>What New</t>
  </si>
  <si>
    <t>Getting Started</t>
  </si>
  <si>
    <t>Get Help</t>
  </si>
  <si>
    <t>Keyboard Shorcuts</t>
  </si>
  <si>
    <t>Log Out</t>
  </si>
  <si>
    <t>Last 30 batch runs</t>
  </si>
  <si>
    <t>Batch Filter Status</t>
  </si>
  <si>
    <t>Selection Box</t>
  </si>
  <si>
    <t>Selection pull down</t>
  </si>
  <si>
    <t>Delete Selected batches</t>
  </si>
  <si>
    <t>Load Latest Batches</t>
  </si>
  <si>
    <t>Filter Batches</t>
  </si>
  <si>
    <t>Match Batch Name</t>
  </si>
  <si>
    <t>[] Failed</t>
  </si>
  <si>
    <t>[] New</t>
  </si>
  <si>
    <t>[] Aborted</t>
  </si>
  <si>
    <t>More Filters</t>
  </si>
  <si>
    <t>Issues and Remarks</t>
  </si>
  <si>
    <t>Status</t>
  </si>
  <si>
    <t>Apply</t>
  </si>
  <si>
    <t>Batch List….</t>
  </si>
  <si>
    <t>[] select</t>
  </si>
  <si>
    <t>action</t>
  </si>
  <si>
    <t>click</t>
  </si>
  <si>
    <t>load batch to Test Manager</t>
  </si>
  <si>
    <t>slect popdown</t>
  </si>
  <si>
    <t>None</t>
  </si>
  <si>
    <t>other ?</t>
  </si>
  <si>
    <t>All tests</t>
  </si>
  <si>
    <t>sub panel</t>
  </si>
  <si>
    <t>Duration</t>
  </si>
  <si>
    <t>Filtering Status</t>
  </si>
  <si>
    <t>pass_fail_status_b</t>
  </si>
  <si>
    <t>datetime stamp_b</t>
  </si>
  <si>
    <t>pass_fail_status_t</t>
  </si>
  <si>
    <t>Batch Name_b</t>
  </si>
  <si>
    <t>datetime stamp_t</t>
  </si>
  <si>
    <t>Batch Name_t</t>
  </si>
  <si>
    <t>Total_num</t>
  </si>
  <si>
    <t>Failed_num</t>
  </si>
  <si>
    <t>passed_num</t>
  </si>
  <si>
    <t>Batch Information - Line 1</t>
  </si>
  <si>
    <t>Batch Information - Line 2</t>
  </si>
  <si>
    <t>Batch Information - Line 3</t>
  </si>
  <si>
    <t>resolved_diffs_pcnt</t>
  </si>
  <si>
    <t>num_unresolved_diffs</t>
  </si>
  <si>
    <t>num_unsaved_changes</t>
  </si>
  <si>
    <t>Tool Bar</t>
  </si>
  <si>
    <t>Toggle selection of all visible test in the current batch</t>
  </si>
  <si>
    <t>Delete selected tests</t>
  </si>
  <si>
    <t xml:space="preserve">when something is slected is not grayed out. TBD what does this do semantically e.g. to the baseline </t>
  </si>
  <si>
    <t xml:space="preserve">Reload the current batch </t>
  </si>
  <si>
    <t>Group steps by similar differences</t>
  </si>
  <si>
    <t>Filter Tests</t>
  </si>
  <si>
    <t>Reset tests to their initial states</t>
  </si>
  <si>
    <t>Accept Selected</t>
  </si>
  <si>
    <t>Reject Selected</t>
  </si>
  <si>
    <t>(group by diff is useful here)</t>
  </si>
  <si>
    <t>The step viewer</t>
  </si>
  <si>
    <t>Apps &amp; Tests panel (NYI)</t>
  </si>
  <si>
    <t>Test run history view (NYI)</t>
  </si>
  <si>
    <t>View : Batch steps by test (Adam Test steps view)</t>
  </si>
  <si>
    <t xml:space="preserve">View : Batch steps </t>
  </si>
  <si>
    <t>View : Batch summary view (NYI)</t>
  </si>
  <si>
    <t>View : Test List (Adam:Test details view)</t>
  </si>
  <si>
    <t>View : Remarks and Issues</t>
  </si>
  <si>
    <t>Group By +</t>
  </si>
  <si>
    <t>Test</t>
  </si>
  <si>
    <t>Browser</t>
  </si>
  <si>
    <t>OS</t>
  </si>
  <si>
    <t>Viewport</t>
  </si>
  <si>
    <t>Branch</t>
  </si>
  <si>
    <t>App</t>
  </si>
  <si>
    <t>Env name</t>
  </si>
  <si>
    <t>Sort by Status</t>
  </si>
  <si>
    <t>Sort by Test</t>
  </si>
  <si>
    <t>Sort by OS</t>
  </si>
  <si>
    <t>Sort by Browser</t>
  </si>
  <si>
    <t>Sort by Viewport</t>
  </si>
  <si>
    <t>Sort by Started</t>
  </si>
  <si>
    <t>Column [] select</t>
  </si>
  <si>
    <t>Column Headers</t>
  </si>
  <si>
    <t xml:space="preserve">Column Data </t>
  </si>
  <si>
    <t>Started</t>
  </si>
  <si>
    <t>Test Name</t>
  </si>
  <si>
    <t>action on any entry</t>
  </si>
  <si>
    <t>Click</t>
  </si>
  <si>
    <t>Graphic of each test</t>
  </si>
  <si>
    <t>Failed red, failed gray, passed green  or TBD ?</t>
  </si>
  <si>
    <t>hover over graphic</t>
  </si>
  <si>
    <t>Keep the baseline  image</t>
  </si>
  <si>
    <t>Accepta as new baseline</t>
  </si>
  <si>
    <t>Highlight diffs location</t>
  </si>
  <si>
    <t>show baseline thumbnail / show current thumbnail (toggle)</t>
  </si>
  <si>
    <t>Open Step View</t>
  </si>
  <si>
    <t>action : click</t>
  </si>
  <si>
    <t>open editor</t>
  </si>
  <si>
    <t>Zoom out</t>
  </si>
  <si>
    <t>Zoom In (double click in image)</t>
  </si>
  <si>
    <t>Fit : Resize Image to it's original size (F)</t>
  </si>
  <si>
    <t>Fill: Resize Image to entirly fill the screen (F)</t>
  </si>
  <si>
    <t>STRICT</t>
  </si>
  <si>
    <t>can this be pressed ?</t>
  </si>
  <si>
    <t>same keypress for Fit and Fill (toggle)</t>
  </si>
  <si>
    <t>Select Visible Layer</t>
  </si>
  <si>
    <t>Highlight differences</t>
  </si>
  <si>
    <t>zoom in on previous difference (,)</t>
  </si>
  <si>
    <t>zoom in on next difference (.)</t>
  </si>
  <si>
    <t>toggle between current and baseline</t>
  </si>
  <si>
    <t>pull down</t>
  </si>
  <si>
    <t>show baseline image</t>
  </si>
  <si>
    <t>show current image</t>
  </si>
  <si>
    <t>show both</t>
  </si>
  <si>
    <t>Accept as Baseline (A)</t>
  </si>
  <si>
    <t>Reject as Baseline (R )</t>
  </si>
  <si>
    <t xml:space="preserve">Information - line 1 </t>
  </si>
  <si>
    <t>test name</t>
  </si>
  <si>
    <t>timedate</t>
  </si>
  <si>
    <t>Pass_fail_status</t>
  </si>
  <si>
    <t>Show More/Show less</t>
  </si>
  <si>
    <t>App:</t>
  </si>
  <si>
    <t>Batch:</t>
  </si>
  <si>
    <t>ID:</t>
  </si>
  <si>
    <t>Revision</t>
  </si>
  <si>
    <t>Saved</t>
  </si>
  <si>
    <t>Saved BY</t>
  </si>
  <si>
    <t>action click outside window to remove</t>
  </si>
  <si>
    <t>action keyboard ESC to remove</t>
  </si>
  <si>
    <t>Share link to  Step</t>
  </si>
  <si>
    <t>Close Viewer</t>
  </si>
  <si>
    <t>Open in Test Editor</t>
  </si>
  <si>
    <t>High</t>
  </si>
  <si>
    <t>Medium</t>
  </si>
  <si>
    <t>N2H</t>
  </si>
  <si>
    <t>Comment - Adam</t>
  </si>
  <si>
    <t>Priority - Adam</t>
  </si>
  <si>
    <t>"Startup and Teardown"</t>
  </si>
  <si>
    <t>Must be discussed as part of the baselines concept</t>
  </si>
  <si>
    <t>Together with "test startup and wrapup"</t>
  </si>
  <si>
    <t>checkpoints - screenshot capturing</t>
  </si>
  <si>
    <t>checkpoints - validation</t>
  </si>
  <si>
    <t>checkpoints - screenshot capturing (except ignore caret which is "checkpoints - validation")</t>
  </si>
  <si>
    <t>"Startup and teardown"</t>
  </si>
  <si>
    <t>Startup and Teardown</t>
  </si>
  <si>
    <t>Startup and teardown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</si>
</sst>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2" x14ac:knownFonts="1">
    <font>
      <sz val="11"/>
      <color theme="1"/>
      <name val="Calibri"/>
      <family val="2"/>
      <scheme val="minor"/>
    </font>
    <font>
      <sz val="9"/>
      <color rgb="FF000000"/>
      <name val="Courier New"/>
      <family val="3"/>
    </font>
    <font>
      <b/>
      <sz val="9"/>
      <color rgb="FF000080"/>
      <name val="Courier New"/>
      <family val="3"/>
    </font>
    <font>
      <b/>
      <i/>
      <sz val="9"/>
      <color rgb="FF660E7A"/>
      <name val="Courier New"/>
      <family val="3"/>
    </font>
    <font>
      <i/>
      <sz val="9"/>
      <color rgb="FF808080"/>
      <name val="Courier New"/>
      <family val="3"/>
    </font>
    <font>
      <sz val="11"/>
      <color rgb="FFFF0000"/>
      <name val="Calibri"/>
      <family val="2"/>
      <scheme val="minor"/>
    </font>
    <font>
      <u/>
      <sz val="11"/>
      <color theme="10"/>
      <name val="Calibri"/>
      <family val="2"/>
      <scheme val="minor"/>
    </font>
    <font>
      <sz val="11"/>
      <color rgb="FF585858"/>
      <name val="Arial"/>
      <family val="2"/>
    </font>
    <font>
      <sz val="21"/>
      <color rgb="FF205081"/>
      <name val="Segoe UI"/>
      <family val="2"/>
    </font>
    <font>
      <sz val="9"/>
      <color theme="1"/>
      <name val="Calibri"/>
      <family val="2"/>
      <scheme val="minor"/>
    </font>
    <font>
      <sz val="9"/>
      <color rgb="FF205081"/>
      <name val="Segoe UI"/>
      <family val="2"/>
    </font>
    <font>
      <sz val="9"/>
      <color rgb="FF585858"/>
      <name val="Arial"/>
      <family val="2"/>
    </font>
    <font>
      <sz val="14"/>
      <color rgb="FF000000"/>
      <name val="Courier New"/>
      <family val="3"/>
    </font>
    <font>
      <sz val="11"/>
      <color theme="1"/>
      <name val="Calibri"/>
      <family val="2"/>
      <scheme val="minor"/>
    </font>
    <font>
      <sz val="9"/>
      <color rgb="FF000080"/>
      <name val="Courier New"/>
      <family val="3"/>
    </font>
    <font>
      <sz val="10"/>
      <color theme="1"/>
      <name val="Arial"/>
      <family val="2"/>
    </font>
    <font>
      <i/>
      <sz val="9"/>
      <color rgb="FF808080"/>
      <name val="Courier New"/>
      <family val="3"/>
    </font>
    <font>
      <sz val="10"/>
      <color rgb="FF808080"/>
      <name val="Arial"/>
      <family val="2"/>
    </font>
    <font>
      <sz val="9"/>
      <color rgb="FF000000"/>
      <name val="Courier New"/>
      <family val="3"/>
    </font>
    <font>
      <b/>
      <sz val="11"/>
      <color theme="1"/>
      <name val="Calibri"/>
      <family val="3"/>
      <scheme val="minor"/>
    </font>
    <font>
      <sz val="11"/>
      <color theme="1"/>
      <name val="Calibri"/>
      <family val="3"/>
      <scheme val="minor"/>
    </font>
    <font>
      <sz val="11"/>
      <color rgb="FF000000"/>
      <name val="Calibri"/>
      <family val="3"/>
      <scheme val="minor"/>
    </font>
    <font>
      <sz val="11"/>
      <color rgb="FF3D3D3D"/>
      <name val="Calibri"/>
      <family val="2"/>
      <scheme val="minor"/>
    </font>
    <font>
      <sz val="9"/>
      <color theme="1"/>
      <name val="Courier New"/>
      <family val="3"/>
    </font>
    <font>
      <b/>
      <sz val="9"/>
      <color rgb="FF000080"/>
      <name val="Courier New"/>
      <family val="3"/>
    </font>
    <font>
      <b/>
      <sz val="11"/>
      <color rgb="FF3D3D3D"/>
      <name val="Calibri"/>
      <family val="3"/>
      <scheme val="minor"/>
    </font>
    <font>
      <sz val="11"/>
      <name val="Calibri"/>
      <family val="2"/>
      <scheme val="minor"/>
    </font>
    <font>
      <sz val="9"/>
      <color rgb="FF808000"/>
      <name val="Courier New"/>
      <family val="3"/>
    </font>
    <font>
      <sz val="9"/>
      <color rgb="FF6F42C1"/>
      <name val="Consolas"/>
      <family val="3"/>
    </font>
    <font>
      <sz val="9"/>
      <color rgb="FF24292E"/>
      <name val="Consolas"/>
      <family val="3"/>
    </font>
    <font>
      <sz val="9"/>
      <color rgb="FFE36209"/>
      <name val="Consolas"/>
      <family val="3"/>
    </font>
    <font>
      <sz val="9.5"/>
      <color rgb="FF222222"/>
      <name val="Arial"/>
      <family val="2"/>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92D050"/>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54">
    <xf numFmtId="0" fontId="0" fillId="0" borderId="0" xfId="0"/>
    <xf numFmtId="0" fontId="1" fillId="0" borderId="0" xfId="0" applyFont="1" applyAlignment="1">
      <alignment vertical="center"/>
    </xf>
    <xf numFmtId="0" fontId="2" fillId="0" borderId="0" xfId="0" applyFont="1" applyAlignment="1">
      <alignment vertical="center"/>
    </xf>
    <xf numFmtId="0" fontId="3" fillId="0" borderId="0" xfId="0" applyFont="1" applyAlignment="1">
      <alignment vertical="center"/>
    </xf>
    <xf numFmtId="0" fontId="4" fillId="0" borderId="0" xfId="0" applyFont="1" applyAlignment="1">
      <alignment vertical="center"/>
    </xf>
    <xf numFmtId="0" fontId="0" fillId="3" borderId="0" xfId="0" applyFill="1"/>
    <xf numFmtId="0" fontId="0" fillId="3" borderId="0" xfId="0" applyFont="1" applyFill="1"/>
    <xf numFmtId="0" fontId="1" fillId="3" borderId="0" xfId="0" applyFont="1" applyFill="1" applyAlignment="1">
      <alignment vertical="center"/>
    </xf>
    <xf numFmtId="0" fontId="5" fillId="0" borderId="0" xfId="0" applyFont="1"/>
    <xf numFmtId="164" fontId="0" fillId="0" borderId="0" xfId="0" applyNumberFormat="1" applyAlignment="1">
      <alignment vertical="top" wrapText="1"/>
    </xf>
    <xf numFmtId="0" fontId="6" fillId="0" borderId="0" xfId="1"/>
    <xf numFmtId="0" fontId="8" fillId="0" borderId="0" xfId="0" applyFont="1" applyAlignment="1">
      <alignment vertical="center" wrapText="1"/>
    </xf>
    <xf numFmtId="0" fontId="0" fillId="0" borderId="0" xfId="0" applyAlignment="1">
      <alignment horizontal="right"/>
    </xf>
    <xf numFmtId="0" fontId="6" fillId="0" borderId="0" xfId="1" applyAlignment="1">
      <alignment horizontal="right"/>
    </xf>
    <xf numFmtId="15" fontId="6" fillId="0" borderId="0" xfId="1" applyNumberFormat="1" applyAlignment="1">
      <alignment horizontal="right"/>
    </xf>
    <xf numFmtId="15" fontId="7" fillId="0" borderId="0" xfId="0" applyNumberFormat="1" applyFont="1" applyAlignment="1">
      <alignment horizontal="right"/>
    </xf>
    <xf numFmtId="0" fontId="7" fillId="0" borderId="0" xfId="0" applyFont="1" applyAlignment="1">
      <alignment horizontal="right"/>
    </xf>
    <xf numFmtId="0" fontId="6" fillId="0" borderId="0" xfId="1" applyAlignment="1">
      <alignment wrapText="1"/>
    </xf>
    <xf numFmtId="0" fontId="9" fillId="0" borderId="0" xfId="0" applyFont="1"/>
    <xf numFmtId="0" fontId="10" fillId="0" borderId="0" xfId="0" applyFont="1" applyAlignment="1">
      <alignment vertical="center" wrapText="1"/>
    </xf>
    <xf numFmtId="0" fontId="11" fillId="0" borderId="0" xfId="0" applyFont="1" applyAlignment="1">
      <alignment vertical="center" wrapText="1"/>
    </xf>
    <xf numFmtId="0" fontId="12" fillId="0" borderId="0" xfId="0" applyFont="1"/>
    <xf numFmtId="0" fontId="13" fillId="0" borderId="0" xfId="0" applyFont="1" applyAlignment="1">
      <alignment vertical="top" wrapText="1"/>
    </xf>
    <xf numFmtId="164" fontId="13" fillId="0" borderId="0" xfId="0" applyNumberFormat="1" applyFont="1" applyAlignment="1">
      <alignment vertical="top" wrapText="1"/>
    </xf>
    <xf numFmtId="0" fontId="14" fillId="0" borderId="0" xfId="0" applyFont="1" applyAlignment="1">
      <alignment vertical="top" wrapText="1"/>
    </xf>
    <xf numFmtId="0" fontId="15" fillId="0" borderId="0" xfId="0" applyFont="1" applyAlignment="1">
      <alignment vertical="top" wrapText="1"/>
    </xf>
    <xf numFmtId="0" fontId="13" fillId="0" borderId="0" xfId="0" applyFont="1"/>
    <xf numFmtId="0" fontId="16" fillId="2" borderId="0" xfId="0" applyFont="1" applyFill="1" applyAlignment="1">
      <alignment vertical="top" wrapText="1"/>
    </xf>
    <xf numFmtId="0" fontId="17" fillId="0" borderId="0" xfId="0" applyFont="1" applyAlignment="1">
      <alignment vertical="top" wrapText="1"/>
    </xf>
    <xf numFmtId="0" fontId="18" fillId="0" borderId="0" xfId="0" applyFont="1" applyAlignment="1">
      <alignment vertical="top" wrapText="1"/>
    </xf>
    <xf numFmtId="0" fontId="15" fillId="0" borderId="0" xfId="0" quotePrefix="1" applyFont="1" applyAlignment="1">
      <alignment vertical="top" wrapText="1"/>
    </xf>
    <xf numFmtId="0" fontId="13" fillId="0" borderId="0" xfId="0" applyFont="1" applyFill="1" applyAlignment="1">
      <alignment vertical="top" wrapText="1"/>
    </xf>
    <xf numFmtId="164" fontId="13" fillId="0" borderId="0" xfId="0" applyNumberFormat="1" applyFont="1" applyFill="1" applyAlignment="1">
      <alignment vertical="top" wrapText="1"/>
    </xf>
    <xf numFmtId="0" fontId="18" fillId="2" borderId="0" xfId="0" applyFont="1" applyFill="1" applyAlignment="1">
      <alignment vertical="top" wrapText="1"/>
    </xf>
    <xf numFmtId="0" fontId="13" fillId="3" borderId="0" xfId="0" applyFont="1" applyFill="1" applyAlignment="1">
      <alignment vertical="top" wrapText="1"/>
    </xf>
    <xf numFmtId="0" fontId="23" fillId="0" borderId="0" xfId="0" applyFont="1" applyAlignment="1">
      <alignment vertical="top" wrapText="1"/>
    </xf>
    <xf numFmtId="0" fontId="24" fillId="0" borderId="0" xfId="0" applyFont="1" applyAlignment="1">
      <alignment vertical="top" wrapText="1"/>
    </xf>
    <xf numFmtId="0" fontId="26" fillId="0" borderId="0" xfId="0" applyFont="1" applyAlignment="1">
      <alignment vertical="top" wrapText="1"/>
    </xf>
    <xf numFmtId="164" fontId="26" fillId="0" borderId="0" xfId="0" applyNumberFormat="1" applyFont="1" applyAlignment="1">
      <alignment vertical="top" wrapText="1"/>
    </xf>
    <xf numFmtId="0" fontId="16" fillId="0" borderId="0" xfId="0" applyFont="1" applyAlignment="1">
      <alignment vertical="top" wrapText="1"/>
    </xf>
    <xf numFmtId="0" fontId="27" fillId="2" borderId="0" xfId="0" applyFont="1" applyFill="1" applyAlignment="1">
      <alignment vertical="top" wrapText="1"/>
    </xf>
    <xf numFmtId="0" fontId="15" fillId="3" borderId="0" xfId="0" applyFont="1" applyFill="1" applyAlignment="1">
      <alignment vertical="top" wrapText="1"/>
    </xf>
    <xf numFmtId="0" fontId="17" fillId="0" borderId="0" xfId="0" quotePrefix="1" applyFont="1" applyAlignment="1">
      <alignment vertical="top" wrapText="1"/>
    </xf>
    <xf numFmtId="0" fontId="0" fillId="0" borderId="0" xfId="0" pivotButton="1"/>
    <xf numFmtId="0" fontId="0" fillId="0" borderId="0" xfId="0" applyNumberFormat="1"/>
    <xf numFmtId="0" fontId="28" fillId="0" borderId="0" xfId="0" applyFont="1"/>
    <xf numFmtId="0" fontId="29" fillId="0" borderId="0" xfId="0" applyFont="1"/>
    <xf numFmtId="0" fontId="0" fillId="2" borderId="0" xfId="0" applyFill="1"/>
    <xf numFmtId="0" fontId="29" fillId="2" borderId="0" xfId="0" applyFont="1" applyFill="1" applyAlignment="1">
      <alignment vertical="top" wrapText="1" indent="1"/>
    </xf>
    <xf numFmtId="0" fontId="29" fillId="2" borderId="0" xfId="0" applyFont="1" applyFill="1" applyAlignment="1">
      <alignment horizontal="right" vertical="top" indent="1"/>
    </xf>
    <xf numFmtId="0" fontId="31" fillId="0" borderId="0" xfId="0" applyFont="1"/>
    <xf numFmtId="0" fontId="31" fillId="0" borderId="0" xfId="0" applyFont="1" applyFill="1"/>
    <xf numFmtId="0" fontId="0" fillId="0" borderId="0" xfId="0" applyFill="1" applyAlignment="1">
      <alignment horizontal="left"/>
    </xf>
    <xf numFmtId="0" fontId="0" fillId="4" borderId="0" xfId="0" applyFill="1"/>
  </cellXfs>
  <cellStyles count="2">
    <cellStyle name="Hyperlink" xfId="1" builtinId="8"/>
    <cellStyle name="Normal" xfId="0" builtinId="0"/>
  </cellStyles>
  <dxfs count="10">
    <dxf>
      <fill>
        <patternFill>
          <bgColor rgb="FFFFFF00"/>
        </patternFill>
      </fill>
    </dxf>
    <dxf>
      <fill>
        <patternFill>
          <bgColor rgb="FFFFFF00"/>
        </patternFill>
      </fill>
    </dxf>
    <dxf>
      <fill>
        <patternFill>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2992.742237847226" createdVersion="6" refreshedVersion="6" minRefreshableVersion="3" recordCount="194" xr:uid="{00000000-000A-0000-FFFF-FFFF00000000}">
  <cacheSource type="worksheet">
    <worksheetSource ref="A1:I1048576" sheet="API"/>
  </cacheSource>
  <cacheFields count="9">
    <cacheField name="group" numFmtId="0">
      <sharedItems containsBlank="1"/>
    </cacheField>
    <cacheField name="group-order" numFmtId="164">
      <sharedItems containsString="0" containsBlank="1" containsNumber="1" minValue="1" maxValue="7"/>
    </cacheField>
    <cacheField name="topic" numFmtId="0">
      <sharedItems containsBlank="1" count="43">
        <s v="1_1 test Startup and wrapup"/>
        <s v="1_5 basic test configuration"/>
        <s v="1_2 Ways to initiate Matches"/>
        <s v="2_3 MatchingUnitsTypes"/>
        <s v="deprecated"/>
        <s v="2_2 Match Levels"/>
        <s v="3_3 User Defined Properties"/>
        <s v="3_1 Baselines"/>
        <s v="3_4 Batches"/>
        <s v="3_2 Branches"/>
        <s v="2_4 Match Filtering"/>
        <s v="4_1 Screenshot Configuration"/>
        <s v="4_3 Client Debug Environment"/>
        <s v="4_4 Server Access Configuration"/>
        <s v="4_2 Timing and Performance Considerations"/>
        <s v="internal"/>
        <s v="3_5 Trigger Information"/>
        <s v="tbd"/>
        <s v="3_6 Controling the test sequence"/>
        <s v="5_1 Storing images results locally"/>
        <s v="external"/>
        <s v="1_3 obtaining match results"/>
        <m/>
        <s v="Storing images results locally" u="1"/>
        <s v="Batches" u="1"/>
        <s v="Branches" u="1"/>
        <s v="Controling the test sequence" u="1"/>
        <s v="Match Levels" u="1"/>
        <s v="basic test configuration" u="1"/>
        <s v="Client Debug Environment" u="1"/>
        <s v="Ways to initiate Matches" u="1"/>
        <s v="Filtering Details" u="1"/>
        <s v="MatchingUnitsTypes" u="1"/>
        <s v="Server Access Configuration" u="1"/>
        <s v="4_1 Client Viewport Configuration" u="1"/>
        <s v="obtaining match results" u="1"/>
        <s v="User Defined Properties" u="1"/>
        <s v="2_4 Filtering Details" u="1"/>
        <s v="Trigger Information" u="1"/>
        <s v="Client Viewport Configuration" u="1"/>
        <s v="Timing and Performance Considerations" u="1"/>
        <s v="Baselines" u="1"/>
        <s v="test Startup and wrapup" u="1"/>
      </sharedItems>
    </cacheField>
    <cacheField name="key" numFmtId="164">
      <sharedItems containsBlank="1" count="130">
        <s v="eyes: Eyes()"/>
        <s v="eyesBase: setApiKey()"/>
        <s v="eyesBase: getApiKey()"/>
        <s v="eyes:setForceFullPageScreenshot()"/>
        <s v="eyes:getForceFullPageScreenshot()"/>
        <s v="eyes:open()"/>
        <s v="eyesBase: getIsOpen() "/>
        <s v="eyes:checkWindow()"/>
        <s v="eyesBase: close() "/>
        <s v="eyesBase: abortIfNotClosed()"/>
        <s v="eyes:testWindow()"/>
        <s v="eyes:check() "/>
        <s v="eyes:checkElement()"/>
        <s v="eyes:checkFrame()"/>
        <s v="eyes:checkRegion()"/>
        <s v="eyes:checkRegionInFrame()"/>
        <s v="eyesBase: getMatchLevel()"/>
        <s v="eyesBase: setMatchLevel() "/>
        <s v="eyesBase: addProperty() "/>
        <s v="eyesBase: getAppName() "/>
        <s v="eyesBase: getBatch() "/>
        <s v="eyesBase: getParentBranchName() "/>
        <s v="eyesBase: getSaveFailedTests() "/>
        <s v="eyesBase: getSaveNewTests()"/>
        <s v="eyesBase: setAppName() "/>
        <s v="eyesBase: setBatch() "/>
        <s v="eyesBase: setHostOS()"/>
        <s v="eyesBase: setSaveNewTests() "/>
        <s v="eyesBase:getBaselineEnvName() "/>
        <s v="eyesBase:getBranchName() "/>
        <s v="eyesBase:getEnvName() "/>
        <s v="eyesBase:getHostApp() "/>
        <s v="eyesBase:getHostOS() "/>
        <s v="eyesBase:setBranchName() "/>
        <s v="eyesBase:setEnvName() "/>
        <s v="eyesBase:setHostApp() "/>
        <s v="eyesBase:setParentBranchName()"/>
        <s v="eyesBase:setSaveFailedTests() "/>
        <s v="eyesBase: getDefaultMatchSettings() "/>
        <s v="eyesBase: getIgnoreCaret() "/>
        <s v="eyesBase: setDefaultMatchSettings() _x000a_"/>
        <s v="eyes:getHideScrollbars()"/>
        <s v="eyes:getRotation()"/>
        <s v="eyes:setHideScrollbars()"/>
        <s v="eyesBase:setIgnoreCaret() "/>
        <s v="eyes:setRotation()"/>
        <s v="eyesBase: getLogHandler() "/>
        <s v="eyesBase: getProxy()"/>
        <s v="eyesBase: getServerUrl()"/>
        <s v="eyesBase: getStitchOverlap() "/>
        <s v="eyes: getViewportSize("/>
        <s v="eyesBase: setProxy() "/>
        <s v="eyesBase: setServerUrl() "/>
        <s v="eyesBase: setStitchOverlap() "/>
        <s v="eyes:getScrollToRegion()"/>
        <s v="eyes:getStitchMode()"/>
        <s v="eyes:getViewportSize()"/>
        <s v="eyes:getWaitBeforeScreenshots()"/>
        <s v="eyesBase:setImageCut()"/>
        <s v="eyesBase:setLogHandler()"/>
        <s v="eyes:setScrollToRegion()"/>
        <s v="eyes:setStitchMode()"/>
        <s v="eyes:setWaitBeforeScreenshots()"/>
        <s v="eyes:shouldStitchContent() "/>
        <s v="eyes:staticsetViewportSize()"/>
        <s v="eyes:addMouseTrigger()"/>
        <s v="eyes:addTextTrigger()"/>
        <s v="eyesBase: getScaleRatio() "/>
        <s v="eyesBase: setExplicitViewportSize() "/>
        <s v="eyesBase: setScaleRatio() "/>
        <s v="eyes: static final double DEFAULT_DEVICE_PIXEL_RATIO = 1;"/>
        <s v="eyes: static final double UNKNOWN_DEVICE_PIXEL_RATIO = 0;"/>
        <s v="eyes:getDevicePixelRatio()"/>
        <s v="eyes:getDriver()"/>
        <s v="eyes:testResponseTime()"/>
        <s v="eyes:WebDriverAction"/>
        <s v="eyesBase: getFailureReports()"/>
        <s v="eyesBase: getIsDisabled() "/>
        <s v="eyesBase: getMatchTimeout() "/>
        <s v="eyesBase: setFailureReports()"/>
        <s v="eyesBase: setIsDisabled()"/>
        <s v="eyesBase: setMatchTimeout() "/>
        <s v="eyesBase: getDebugScreenshotsPath() "/>
        <s v="eyesBase: getDebugScreenshotsPrefix() "/>
        <s v="eyesBase: getDebugScreenshotsProvider()"/>
        <s v="eyesBase: getSaveDebugScreenshots() "/>
        <s v="eyesBase: setDebugScreenshotsPath()"/>
        <s v="eyesBase: setDebugScreenshotsPrefix()"/>
        <s v="eyesBase: setSaveDebugScreenshots() "/>
        <s v="eyesBase: getAgentId() "/>
        <s v="eyesBase: getDefaultServerUrl() "/>
        <s v="eyesBase: setPositionProvider()"/>
        <s v="eyes:getBaseAgentId()"/>
        <s v="eyes:getElementPositionProviderI()"/>
        <s v="eyesBase:PositionProvider getPositionProvider() "/>
        <s v="eyesBase:setAgentId()"/>
        <s v="eyesBase:getBaselineName() "/>
        <s v="eyesBase:setAppEnvironment() "/>
        <s v="eyesBase:setBaselineName()"/>
        <s v="ProxySettings:"/>
        <s v="BatchInfo:"/>
        <s v="WebDriver:"/>
        <s v="Region:"/>
        <s v="FailureReports:"/>
        <s v="ImageMatchSettings:"/>
        <s v="MatchLevel:"/>
        <s v="CutProvider:"/>
        <s v="DebugScreenshotsProvider:"/>
        <s v="TestResults:"/>
        <s v="PositionProvider :"/>
        <s v="URI:"/>
        <s v="LogHandler:"/>
        <s v="RectangleSize:"/>
        <s v="StitchMode mode:"/>
        <s v="ImageRotation:"/>
        <s v="WebDriverAction:"/>
        <s v="ICheckSettings:"/>
        <s v="WebElement:"/>
        <s v="By:"/>
        <s v="MouseAction:"/>
        <s v="Target:"/>
        <m/>
        <s v="eyes:testWindow() " u="1"/>
        <s v="eyes:testResponseTime() " u="1"/>
        <s v="eyes: getRegionToCheck() " u="1"/>
        <s v="eyes:checkRegionInFrame(," u="1"/>
        <s v="eyes:checkRegionInFrame() " u="1"/>
        <s v="eyes:checkRegion() " u="1"/>
        <s v="eyes:checkFrame(" u="1"/>
        <s v="eyes:checkRegionInFrame(" u="1"/>
      </sharedItems>
    </cacheField>
    <cacheField name="class" numFmtId="0">
      <sharedItems containsBlank="1"/>
    </cacheField>
    <cacheField name="return" numFmtId="0">
      <sharedItems containsBlank="1"/>
    </cacheField>
    <cacheField name="function" numFmtId="0">
      <sharedItems containsBlank="1"/>
    </cacheField>
    <cacheField name="parameters" numFmtId="0">
      <sharedItems containsBlank="1"/>
    </cacheField>
    <cacheField name="description"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
  <r>
    <s v="base"/>
    <n v="1"/>
    <x v="0"/>
    <x v="0"/>
    <s v="eyes"/>
    <s v="constructor"/>
    <s v=" Eyes()"/>
    <s v="URI serverUrl"/>
    <s v="Creates a new (possibly disabled) Eyes instance that interacts with the Eyes Server at the specified url._x000a_     * @param serverUrl The Eyes server URL."/>
  </r>
  <r>
    <s v="base"/>
    <n v="1"/>
    <x v="0"/>
    <x v="0"/>
    <s v="eyes"/>
    <s v="constructor"/>
    <s v=" Eyes()"/>
    <m/>
    <s v="Creates a new Eyes instance that interacts with the Eyes cloud service."/>
  </r>
  <r>
    <s v="base"/>
    <n v="2"/>
    <x v="0"/>
    <x v="1"/>
    <s v="eyesBase"/>
    <s v="void"/>
    <s v=" setApiKey()"/>
    <s v="String apiKey"/>
    <s v="Sets the API key of your applitools Eyes account, as provided by Aplitools. See TBD where in the web_x000a_     * @param apiKey The api key to set._x000a_"/>
  </r>
  <r>
    <s v="base"/>
    <n v="2.1"/>
    <x v="0"/>
    <x v="2"/>
    <s v="eyesBase"/>
    <s v="String"/>
    <s v=" getApiKey()"/>
    <s v="()"/>
    <s v="@return The currently set API key or {@code null} if no key is set."/>
  </r>
  <r>
    <s v="base"/>
    <n v="3"/>
    <x v="1"/>
    <x v="3"/>
    <s v="eyes"/>
    <s v="void"/>
    <s v="setForceFullPageScreenshot()"/>
    <s v="boolean shouldForce"/>
    <s v="Forces a full page screenshot (by scrolling and stitching) if the browser only ﻿supports viewport screenshots)._x000a_     * @param shouldForce Whether to force a full page screenshot or not."/>
  </r>
  <r>
    <s v="base"/>
    <n v="3.1"/>
    <x v="1"/>
    <x v="4"/>
    <s v="eyes"/>
    <s v="boolean"/>
    <s v="getForceFullPageScreenshot()"/>
    <s v="()"/>
    <s v="@return Whether Eyes should force a full page screenshot."/>
  </r>
  <r>
    <s v="base"/>
    <n v="4"/>
    <x v="0"/>
    <x v="5"/>
    <s v="eyes"/>
    <s v="WebDriver"/>
    <s v="open()"/>
    <s v="WebDriver driver,_x000a_String appName, _x000a_String testName,_x000a_RectangleSize viewportSize"/>
    <s v="     * See {@link #open(WebDriver, String, String, RectangleSize, SessionType)}.      * {@code sessionType} defaults to {@code null}."/>
  </r>
  <r>
    <s v="base"/>
    <n v="4"/>
    <x v="0"/>
    <x v="5"/>
    <s v="eyes"/>
    <s v="WebDriver"/>
    <s v="open()"/>
    <s v="WebDriver driver,_x000a_ String appName, _x000a_String testName"/>
    <s v="     * See {@link #open(WebDriver, String, String, SessionType)}. {@code viewportSize} defaults to {@code null}. {@code sessionType} defaults to {@code null}."/>
  </r>
  <r>
    <s v="base"/>
    <n v="4.0999999999999996"/>
    <x v="0"/>
    <x v="6"/>
    <s v="eyesBase"/>
    <s v="boolean"/>
    <s v=" getIsOpen() "/>
    <s v="()"/>
    <s v="* @return Whether a session is open."/>
  </r>
  <r>
    <s v="base"/>
    <n v="5"/>
    <x v="2"/>
    <x v="7"/>
    <s v="eyes"/>
    <s v="void"/>
    <s v="checkWindow()"/>
    <s v="()"/>
    <s v="See {@link #checkWindow(String)}.  {@code tag} defaults to {@code null} Default match timeout is used."/>
  </r>
  <r>
    <s v="base"/>
    <n v="5"/>
    <x v="2"/>
    <x v="7"/>
    <s v="eyes"/>
    <s v="void"/>
    <s v="checkWindow()"/>
    <s v="String tag"/>
    <s v="     * See {@link #checkWindow(int, String)}.  Default match timeout is used._x000a_@param tag An optional tag to be associated with the snapshot."/>
  </r>
  <r>
    <s v="base"/>
    <n v="5"/>
    <x v="2"/>
    <x v="7"/>
    <s v="eyes"/>
    <s v="void"/>
    <s v="checkWindow()"/>
    <s v="int matchTimeout, _x000a_String tag"/>
    <s v=" Takes a snapshot of the application under test and matches it with the expected output._x000a_@param matchTimeout The amount of time to retry matching (Milliseconds)._x000a_ @param tag          An optional tag to be associated with the snapshot._x000a_ @throws TestFailedException Thrown if a mismatch is detected and  immediate failure reports are enabled."/>
  </r>
  <r>
    <s v="base"/>
    <n v="6"/>
    <x v="0"/>
    <x v="8"/>
    <s v="eyesBase"/>
    <s v="TestResults"/>
    <s v=" close() "/>
    <s v="()"/>
    <s v="See {@link #close(boolean)}._x000a_     * {@code throwEx} defaults to {@code true}._x000a_     * @return The test results."/>
  </r>
  <r>
    <s v="base"/>
    <n v="6"/>
    <x v="0"/>
    <x v="8"/>
    <s v="eyesBase"/>
    <s v="TestResults"/>
    <s v=" close() "/>
    <s v="boolean throwEx"/>
    <s v="* Ends the test._x000a_     * @param throwEx If true, an exception will be thrown for failed/new tests._x000a_     * @return The test results._x000a_     * @throws TestFailedException if a mismatch was found and throwEx is true._x000a_     * @throws NewTestException    if this is a new test was found and throwEx is true._x000a_"/>
  </r>
  <r>
    <s v="base"/>
    <n v="6.1"/>
    <x v="0"/>
    <x v="9"/>
    <s v="eyesBase"/>
    <s v="void"/>
    <s v=" abortIfNotClosed()"/>
    <s v="()"/>
    <s v="If a test is running, aborts it. Otherwise, does nothing."/>
  </r>
  <r>
    <s v="base"/>
    <n v="7"/>
    <x v="2"/>
    <x v="10"/>
    <s v="eyes"/>
    <s v="void"/>
    <s v="testWindow()"/>
    <s v="WebDriver driver, _x000a_String appName,_x000a_ String testName"/>
    <s v="     * See {@link #testWindow(WebDriver, String, String, RectangleSize)}.  {@code viewportSize} defaults to {@code null}."/>
  </r>
  <r>
    <s v="base"/>
    <n v="7"/>
    <x v="2"/>
    <x v="10"/>
    <s v="eyes"/>
    <s v="void"/>
    <s v="testWindow()"/>
    <s v="WebDriver driver, String testName"/>
    <s v="     * See {@link #testWindow(WebDriver, String, RectangleSize)}. {@code viewportSize} defaults to {@code null}."/>
  </r>
  <r>
    <s v="base"/>
    <n v="7"/>
    <x v="2"/>
    <x v="10"/>
    <s v="eyes"/>
    <s v="void"/>
    <s v="testWindow()"/>
    <s v="WebDriver driver, _x000a_String appName, _x000a_String testName,  _x000a_RectangleSize viewportSize"/>
    <s v="Runs a test on the current window._x000a_@param driver       The web driver that controls the browser hosting  the application under test._x000a_@param appName      The name of the application under test._x000a_@param testName     The test name (will also be used as the tag name for the step)._x000a_ @param viewportSize The required browser's viewport size   (i.e., the visible part of the document's body) or    {@code null} to use the current window's viewport._x000a_"/>
  </r>
  <r>
    <s v="base"/>
    <n v="7"/>
    <x v="2"/>
    <x v="10"/>
    <s v="eyes"/>
    <s v="void"/>
    <s v="testWindow()"/>
    <s v="WebDriver driver, _x000a_String testName, _x000a_RectangleSize viewportSize"/>
    <s v="     * See {@link #testWindow(WebDriver, String, String, RectangleSize)}. {@code appName} defaults to {@code null} (which means the name set in {@link #setAppName(String)} would be used."/>
  </r>
  <r>
    <s v="base-advanced"/>
    <n v="1"/>
    <x v="2"/>
    <x v="11"/>
    <s v="eyes"/>
    <s v="void"/>
    <s v="check() "/>
    <s v="String name, _x000a_ICheckSettings checkSettings"/>
    <s v="NO COMMENT"/>
  </r>
  <r>
    <s v="base-advanced"/>
    <n v="2"/>
    <x v="3"/>
    <x v="12"/>
    <s v="eyes"/>
    <s v="void"/>
    <s v="checkElement()"/>
    <s v="WebElement element"/>
    <s v="See {@link #checkElement(WebElement, String)}. {@code tag} defaults to {@code null}."/>
  </r>
  <r>
    <s v="base-advanced"/>
    <n v="2"/>
    <x v="3"/>
    <x v="12"/>
    <s v="eyes"/>
    <s v="void"/>
    <s v="checkElement()"/>
    <s v="WebElement element, String tag"/>
    <s v="See {@link #checkElement(WebElement, int, String)}.      * Default match timeout is used."/>
  </r>
  <r>
    <s v="base-advanced"/>
    <n v="2"/>
    <x v="3"/>
    <x v="12"/>
    <s v="eyes"/>
    <s v="void"/>
    <s v="checkElement()"/>
    <s v="WebElement element, _x000a_int matchTimeout, _x000a_String tag"/>
    <s v="Takes a snapshot of the application under test and matches a specific_x000a_     * element with the expected region output._x000a_     * @param element      The element to check. ANything addressable in the DOM_x000a_     * @param matchTimeout The amount of time to retry matching. (Milliseconds)_x000a_     * @param tag          An optional tag to be associated with the snapshot._x000a_     * @throws TestFailedException if a mismatch is detected and immediate failure reports are enabled"/>
  </r>
  <r>
    <s v="base-advanced"/>
    <n v="2"/>
    <x v="3"/>
    <x v="12"/>
    <s v="eyes"/>
    <s v="void"/>
    <s v="checkElement()"/>
    <s v="By selector"/>
    <s v="ee {@link #checkElement(By, String)}.      * {@code tag} defaults to {@code null}."/>
  </r>
  <r>
    <s v="base-advanced"/>
    <n v="2"/>
    <x v="3"/>
    <x v="12"/>
    <s v="eyes"/>
    <m/>
    <s v="checkElement()"/>
    <s v="By selector, _x000a_String tag"/>
    <s v=" See {@link #checkElement(By, int, String)}. Default match timeout is used."/>
  </r>
  <r>
    <s v="base-advanced"/>
    <n v="2"/>
    <x v="3"/>
    <x v="12"/>
    <s v="eyes"/>
    <s v="void"/>
    <s v="checkElement()"/>
    <s v="By selector, _x000a_int matchTimeout, _x000a_String tag"/>
    <s v="Takes a snapshot of the application under test and matches an element_x000a_     * specified by the given selector with the expected region output._x000a_     * @param selector     Selects the element to check._x000a_     * @param matchTimeout The amount of time to retry matching. (Milliseconds)_x000a_     * @param tag          An optional tag to be associated with the screenshot._x000a_     * @throws TestFailedException if a mismatch is detected and_x000a_     *                             immediate failure reports are enabled"/>
  </r>
  <r>
    <s v="base-advanced"/>
    <n v="2"/>
    <x v="3"/>
    <x v="13"/>
    <s v="eyes"/>
    <m/>
    <s v="checkFrame()"/>
    <s v="WebElement frameReference, _x000a_int matchTimeout,"/>
    <s v="Matches the frame given as parameter, by switching into the frame and using stitching to get an image of the frame._x000a_     * @param frameReference The element which is the frame to switch to. (as would be used in a call to driver.switchTo().frame() )._x000a_     * @param matchTimeout   The amount of time to retry matching (milliseconds)._x000a_     * @param tag            An optional tag to be associated with the match."/>
  </r>
  <r>
    <s v="base-advanced"/>
    <n v="2"/>
    <x v="3"/>
    <x v="13"/>
    <s v="eyes"/>
    <s v="void"/>
    <s v="checkFrame()"/>
    <s v="String frameNameOrId"/>
    <s v="See {@link #checkFrame(String, int, String)}. {@code tag} defaults to {@code null}. Default match timeout is used."/>
  </r>
  <r>
    <s v="base-advanced"/>
    <n v="2"/>
    <x v="3"/>
    <x v="13"/>
    <s v="eyes"/>
    <s v="void"/>
    <s v="checkFrame()"/>
    <s v="String frameNameOrId, String tag"/>
    <s v="See {@link #checkFrame(String, int, String)}.  Default match timeout is used."/>
  </r>
  <r>
    <s v="base-advanced"/>
    <n v="2"/>
    <x v="3"/>
    <x v="13"/>
    <s v="eyes"/>
    <s v="void"/>
    <s v="checkFrame()"/>
    <s v="String frameNameOrId, int matchTimeout, String tag"/>
    <s v="Matches the frame given as parameter, by switching into the frame and using stitching to get an image of the frame._x000a_     * @param frameNameOrId The name or id of the frame to check. (The same name/id as would be used in a call to driver.switchTo().frame())._x000a_     * @param matchTimeout  The amount of time to retry matching. (Milliseconds)_x000a_     * @param tag           An optional tag to be associated with the match"/>
  </r>
  <r>
    <s v="base-advanced"/>
    <n v="2"/>
    <x v="3"/>
    <x v="13"/>
    <s v="eyes"/>
    <s v="void"/>
    <s v="checkFrame()"/>
    <s v="int frameIndex"/>
    <s v="See {@link #checkFrame(int, int, String)}. {@code tag} defaults to {@code null}. Default match timeout is used."/>
  </r>
  <r>
    <s v="base-advanced"/>
    <n v="2"/>
    <x v="3"/>
    <x v="13"/>
    <s v="eyes"/>
    <m/>
    <s v="checkFrame()"/>
    <s v="int frameIndex, String tag"/>
    <s v="See {@link #checkFrame(int, int, String)}. Default match timeout is used."/>
  </r>
  <r>
    <s v="base-advanced"/>
    <n v="2"/>
    <x v="3"/>
    <x v="13"/>
    <s v="eyes"/>
    <s v="void"/>
    <s v="checkFrame()"/>
    <s v="int frameIndex, _x000a_int matchTimeout, _x000a_String tag"/>
    <s v="Matches the frame given as parameter, by switching into the frame and using stitching to get an image of the frame._x000a_     * @param frameIndex   The index of the frame to switch to. (The same index as would be used in a call to driver.switchTo().frame())._x000a_     * @param matchTimeout The amount of time to retry matching. (Milliseconds)_x000a_     * @param tag          An optional tag to be associated with the match."/>
  </r>
  <r>
    <s v="base-advanced"/>
    <n v="2"/>
    <x v="3"/>
    <x v="13"/>
    <s v="eyes"/>
    <s v="void"/>
    <s v="checkFrame()"/>
    <s v="WebElement frameReference"/>
    <s v="See {@link #checkFrame(WebElement, int, String)}.   {@code tag} defaults to {@code null}. Default match timeout is used."/>
  </r>
  <r>
    <s v="base-advanced"/>
    <n v="2"/>
    <x v="3"/>
    <x v="13"/>
    <s v="eyes"/>
    <s v="void"/>
    <s v="checkFrame()"/>
    <s v="WebElement frameReference, _x000a_String tag"/>
    <s v=" See {@link #checkFrame(WebElement, int, String)}. Default match timeout is used."/>
  </r>
  <r>
    <s v="base-advanced"/>
    <n v="2"/>
    <x v="3"/>
    <x v="13"/>
    <s v="eyes"/>
    <s v="void"/>
    <s v="checkFrame()"/>
    <s v="String[] framePath, _x000a_int matchTimeout, _x000a_String tag"/>
    <s v=" Used for I-Frame elements. Matches the frame given by the frames path, by switching into the frame_x000a_     * and using stitching to get an image of the frame._x000a_     * @param framePath    The path to the frame to check. This is a list of_x000a_     *                     frame names/IDs (where each frame is nested in the_x000a_     *                     previous frame)._x000a_     * @param matchTimeout The amount of time to retry matching (milliseconds)._x000a_     * @param tag          An optional tag to be associated with the match"/>
  </r>
  <r>
    <s v="base-advanced"/>
    <n v="2"/>
    <x v="3"/>
    <x v="13"/>
    <s v="eyes"/>
    <s v="void"/>
    <s v="checkFrame()"/>
    <s v="String[] framesPath, _x000a_String tag"/>
    <s v="See {@link #checkFrame(String[], int, String)}.  Default match timeout is used.{@code tag} defaults to {@code null}."/>
  </r>
  <r>
    <s v="base-advanced"/>
    <n v="2"/>
    <x v="3"/>
    <x v="13"/>
    <s v="eyes"/>
    <s v="void"/>
    <s v="checkFrame()"/>
    <s v="String[] framesPath"/>
    <s v="See {@link #checkFrame(String[], int, String)}.      * Default match timeout is used.     * {@code tag} defaults to {@code null}."/>
  </r>
  <r>
    <s v="base-advanced"/>
    <n v="2"/>
    <x v="3"/>
    <x v="14"/>
    <s v="eyes"/>
    <s v="void"/>
    <s v="checkRegion()"/>
    <s v="WebElement element, _x000a_int matchTimeout, _x000a_String tag,_x000a_ boolean stitchContent"/>
    <s v="if {@code stitchContent} is {@code false} then behaves the same {@link #checkRegion(org.openqa.selenium.WebElement, int, String)}. Otherwise behaves the same as {@link #checkElement(WebElement, String)}."/>
  </r>
  <r>
    <s v="base-advanced"/>
    <n v="2"/>
    <x v="3"/>
    <x v="14"/>
    <s v="eyes"/>
    <s v="void"/>
    <s v="checkRegion()"/>
    <s v="By selector"/>
    <s v="See {@link #checkRegion(By, String)}. {@code tag} defaults to {@code null}."/>
  </r>
  <r>
    <s v="base-advanced"/>
    <n v="2"/>
    <x v="3"/>
    <x v="14"/>
    <s v="eyes"/>
    <s v="void"/>
    <s v="checkRegion()"/>
    <s v="By selector, _x000a_boolean stitchContent"/>
    <s v="If {@code stitchContent} is {@code false} then behaves the same as {@link #checkRegion(org.openqa.selenium.By)}. Otherwise, behaves the same as {@code #checkElement(org.openqa.selenium.By)}"/>
  </r>
  <r>
    <s v="base-advanced"/>
    <n v="2"/>
    <x v="3"/>
    <x v="14"/>
    <s v="eyes"/>
    <s v="void"/>
    <s v="checkRegion()"/>
    <s v="By selector, String tag"/>
    <s v="See {@link #checkRegion(By, int, String)}. Default match timeout is used."/>
  </r>
  <r>
    <s v="base-advanced"/>
    <n v="2"/>
    <x v="3"/>
    <x v="14"/>
    <s v="eyes"/>
    <s v="void"/>
    <s v="checkRegion()"/>
    <s v="By selector, _x000a_String tag, _x000a_boolean stitchContent"/>
    <s v="If {@code stitchContent} is {@code false} then behaves the same as {@link #checkRegion(org.openqa.selenium.By, String)}. Otherwise, behaves the same as {@link #checkElement(By, String)}."/>
  </r>
  <r>
    <s v="base-advanced"/>
    <n v="2"/>
    <x v="3"/>
    <x v="14"/>
    <s v="eyes"/>
    <s v="void"/>
    <s v="checkRegion()"/>
    <s v="By selector, _x000a_int matchTimeout, _x000a_String tag"/>
    <s v="Takes a snapshot of the application under test and matches a region (a rectangular area within the window) specified by the given selector with the expected region output._x000a_     * @param selector     Selects the region to check._x000a_     * @param matchTimeout The amount of time to retry matching. (Milliseconds)_x000a_     * @param tag          An optional tag to be associated with the screenshot._x000a_     * @throws TestFailedException if a mismatch is detected and immediate failure reports are enabled"/>
  </r>
  <r>
    <s v="base-advanced"/>
    <n v="2"/>
    <x v="3"/>
    <x v="14"/>
    <s v="eyes"/>
    <s v="void"/>
    <s v="checkRegion()"/>
    <s v="By selector, _x000a_int matchTimeout, _x000a_String tag, _x000a_boolean stitchContent"/>
    <s v="If {@code stitchContent} is {@code false} then behaves the same as {@link #checkRegion(org.openqa.selenium.By, int, String)}. Otherwise, behaves the same as {@link #checkElement(By, int, String)}."/>
  </r>
  <r>
    <s v="base-advanced"/>
    <n v="2"/>
    <x v="3"/>
    <x v="14"/>
    <s v="eyes"/>
    <s v="void"/>
    <s v="checkRegion()"/>
    <s v="Region region"/>
    <s v="ee {@link #checkRegion(Region, int, String)}. {@code tag} defaults to {@code null}. Default match timeout is used."/>
  </r>
  <r>
    <s v="base-advanced"/>
    <n v="2"/>
    <x v="3"/>
    <x v="14"/>
    <s v="eyes"/>
    <s v="void"/>
    <s v="checkRegion()"/>
    <s v="final Region region, _x000a_int matchTimeout, _x000a_String tag"/>
    <s v="Takes a snapshot of the application under test and matches a specific region within it with the expected output._x000a_     * @param region       A non empty region representing the screen region to check._x000a_     * @param matchTimeout The amount of time to retry matching. (Milliseconds)_x000a_     * @param tag          An optional tag to be associated with the snapshot._x000a_     * @throws TestFailedException Thrown if a mismatch is detected and immediate failure reports are enabled."/>
  </r>
  <r>
    <s v="base-advanced"/>
    <n v="2"/>
    <x v="3"/>
    <x v="14"/>
    <s v="eyes"/>
    <s v="void"/>
    <s v="checkRegion()"/>
    <s v="WebElement element"/>
    <s v="See {@link #checkRegion(WebElement, String)}. {@code tag} defaults to {@code null}."/>
  </r>
  <r>
    <s v="base-advanced"/>
    <n v="2"/>
    <x v="3"/>
    <x v="14"/>
    <s v="eyes"/>
    <s v="void"/>
    <s v="checkRegion()"/>
    <s v="WebElement element, _x000a_boolean stitchContent"/>
    <s v="If {@code stitchContent} is {@code false} then behaves the same as {@link #checkRegion(org.openqa.selenium.WebElement)}, otherwise behaves the same as {@link #checkElement(WebElement)}."/>
  </r>
  <r>
    <s v="base-advanced"/>
    <n v="2"/>
    <x v="3"/>
    <x v="14"/>
    <s v="eyes"/>
    <s v="void"/>
    <s v="checkRegion()"/>
    <s v="WebElement element, _x000a_String tag"/>
    <s v="See {@link #checkRegion(WebElement, int, String)}. Default match timeout is used."/>
  </r>
  <r>
    <s v="base-advanced"/>
    <n v="2"/>
    <x v="3"/>
    <x v="14"/>
    <s v="eyes"/>
    <s v="void"/>
    <s v="checkRegion()"/>
    <s v="WebElement element, _x000a_String tag, _x000a_boolean stitchContent"/>
    <s v="if {@code stitchContent} is {@code false} then behaves the same {@link #checkRegion(org.openqa.selenium.WebElement, String)}. Otherwise behaves the same as {@link #checkElement(WebElement, String)}."/>
  </r>
  <r>
    <s v="base-advanced"/>
    <n v="2"/>
    <x v="3"/>
    <x v="14"/>
    <s v="eyes"/>
    <s v="void"/>
    <s v="checkRegion()"/>
    <s v="final WebElement element, int matchTimeout, String tag"/>
    <s v="Takes a snapshot of the application under test and matches a region of a specific element with the expected region output._x000a_     * @param element      The element which represents the region to check._x000a_     * @param matchTimeout The amount of time to retry matching. (Milliseconds)_x000a_     * @param tag          An optional tag to be associated with the snapshot._x000a_     * @throws TestFailedException if a mismatch is detected and immediate failure reports are enabled"/>
  </r>
  <r>
    <s v="base-advanced"/>
    <n v="2"/>
    <x v="3"/>
    <x v="15"/>
    <s v="eyes"/>
    <s v="void"/>
    <s v="checkRegionInFrame()"/>
    <s v="WebElement frameReference, _x000a_By selector, _x000a_String tag, _x000a_boolean stitchContent"/>
    <s v="See {@link #checkRegionInFrame(WebElement, By, int, String, boolean)}. Default match timeout is used."/>
  </r>
  <r>
    <s v="base-advanced"/>
    <n v="2"/>
    <x v="3"/>
    <x v="15"/>
    <s v="eyes"/>
    <s v="void"/>
    <s v="checkRegionInFrame()"/>
    <s v="String[] framePath, _x000a_By selector, _x000a_String tag)"/>
    <s v="See {@link #checkRegionInFrame(String[], By, int, String)}. Default match timeout is used."/>
  </r>
  <r>
    <s v="base-advanced"/>
    <n v="2"/>
    <x v="3"/>
    <x v="15"/>
    <s v="eyes"/>
    <s v="void"/>
    <s v="checkRegionInFrame()"/>
    <s v="int frameIndex, _x000a_By selector"/>
    <s v="See {@link #checkRegionInFrame(int, By, String)}. {@code tag} defaults to {@code null}."/>
  </r>
  <r>
    <s v="base-advanced"/>
    <n v="2"/>
    <x v="3"/>
    <x v="15"/>
    <s v="eyes"/>
    <s v="void"/>
    <s v="checkRegionInFrame()"/>
    <s v="int frameIndex, _x000a_By selector, _x000a_boolean stitchContent"/>
    <s v="See {@link #checkRegionInFrame(int, By, String)}. {@code tag} defaults to {@code null}."/>
  </r>
  <r>
    <s v="base-advanced"/>
    <n v="2"/>
    <x v="3"/>
    <x v="15"/>
    <s v="eyes"/>
    <s v="void"/>
    <s v="checkRegionInFrame()"/>
    <s v="int frameIndex, _x000a_By selector, _x000a_String tag"/>
    <s v="See {@link #checkRegionInFrame(int, By, String, boolean)}. {@code stitchContent} defaults to {@code false}."/>
  </r>
  <r>
    <s v="base-advanced"/>
    <n v="2"/>
    <x v="3"/>
    <x v="15"/>
    <s v="eyes"/>
    <s v="void"/>
    <s v="checkRegionInFrame()"/>
    <s v="int frameIndex,_x000a_ By selector, _x000a_String tag, _x000a_boolean stitchContent"/>
    <s v="See {@link #checkRegionInFrame(int, By, int, String, boolean)}. Default match timeout is used."/>
  </r>
  <r>
    <s v="base-advanced"/>
    <n v="2"/>
    <x v="3"/>
    <x v="15"/>
    <s v="eyes"/>
    <s v="void"/>
    <s v="checkRegionInFrame()"/>
    <s v="int frameIndex, _x000a_By selector, _x000a_int matchTimeout, _x000a_String tag"/>
    <s v="See {@link #checkRegionInFrame(int, By, int, String, boolean)}. {@code stitchContent} defaults to {@code false}."/>
  </r>
  <r>
    <s v="base-advanced"/>
    <n v="2"/>
    <x v="3"/>
    <x v="15"/>
    <s v="eyes"/>
    <s v="void"/>
    <s v="checkRegionInFrame()"/>
    <s v="int frameIndex,_x000a_ By selector,    _x000a_int matchTimeout, _x000a_String tag,  _x000a_boolean stitchContent"/>
    <s v="witches into the given frame, takes a snapshot of the application under_x000a_     * test and matches a region specified by the given selector._x000a_     * @param frameIndex    The index of the frame to switch to. (The same index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String frameNameOrId, _x000a_By selector"/>
    <s v="See {@link #checkRegionInFrame(String, By, int, String, boolean)}. {@code stitchContent} defaults to {@code null}"/>
  </r>
  <r>
    <s v="base-advanced"/>
    <n v="2"/>
    <x v="3"/>
    <x v="15"/>
    <s v="eyes"/>
    <s v="void"/>
    <s v="checkRegionInFrame()"/>
    <s v="String frameNameOrId,_x000a_ By selector, _x000a_boolean stitchContent"/>
    <s v="See {@link #checkRegionInFrame(String, By, int, String, boolean)}. {@code stitchContent} defaults to {@code null}."/>
  </r>
  <r>
    <s v="base-advanced"/>
    <n v="2"/>
    <x v="3"/>
    <x v="15"/>
    <s v="eyes"/>
    <s v="void"/>
    <s v="checkRegionInFrame()"/>
    <s v="String frameNameOrId, _x000a_By selector, _x000a_String tag"/>
    <s v="See {@link #checkRegionInFrame(String, By, int, String, boolean)}. {@code tag} defaults to {@code null}."/>
  </r>
  <r>
    <s v="base-advanced"/>
    <n v="2"/>
    <x v="3"/>
    <x v="15"/>
    <s v="eyes"/>
    <s v="void"/>
    <s v="checkRegionInFrame()"/>
    <s v="String frameNameOrId, _x000a_By selector, _x000a_int matchTimeout, _x000a_String tag"/>
    <s v="See {@link #checkRegionInFrame(String, By, int, String, boolean)}. {@code stitchContent} defaults to {@code false}."/>
  </r>
  <r>
    <s v="base-advanced"/>
    <n v="2"/>
    <x v="3"/>
    <x v="15"/>
    <s v="eyes"/>
    <s v="void"/>
    <s v="checkRegionInFrame()"/>
    <s v="String frameNameOrId, _x000a_By selector,   _x000a_int matchTimeout, _x000a_String tag, _x000a_boolean stitchContent"/>
    <s v="witches into the given frame, takes a snapshot of the application under test and matches a region specified by the given selector._x000a_     * @param frameNameOrId The name or id of the frame to switch to.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WebElement frameReference, _x000a_By selector"/>
    <s v="See {@link #checkRegionInFrame(WebElement, By, boolean)}. {@code stitchContent} defaults to {@code null}."/>
  </r>
  <r>
    <s v="base-advanced"/>
    <n v="2"/>
    <x v="3"/>
    <x v="15"/>
    <s v="eyes"/>
    <s v="void"/>
    <s v="checkRegionInFrame()"/>
    <s v="WebElement frameReference, _x000a_By selector, _x000a_boolean stitchContent"/>
    <s v="See {@link #checkRegionInFrame(WebElement, By, String, boolean)}. {@code tag} defaults to {@code null}."/>
  </r>
  <r>
    <s v="base-advanced"/>
    <n v="2"/>
    <x v="3"/>
    <x v="15"/>
    <s v="eyes"/>
    <s v="void"/>
    <s v="checkRegionInFrame()"/>
    <s v="WebElement frameReference, _x000a_By selector, _x000a_String tag"/>
    <s v="See {@link #checkRegionInFrame(WebElement, By, String, boolean)}. {@code stitchContent} defaults to {@code false}."/>
  </r>
  <r>
    <s v="base-advanced"/>
    <n v="2"/>
    <x v="3"/>
    <x v="15"/>
    <s v="eyes"/>
    <s v="void"/>
    <s v="checkRegionInFrame()"/>
    <s v="WebElement frameReference,_x000a_ By selector"/>
    <s v="See {@link #checkRegionInFrame(WebElement, By, int, String, boolean)}.      * {@code stitchContent} defaults to {@code false}."/>
  </r>
  <r>
    <s v="base-advanced"/>
    <n v="2"/>
    <x v="3"/>
    <x v="15"/>
    <s v="eyes"/>
    <s v="void"/>
    <s v="checkRegionInFrame()"/>
    <s v="WebElement frameReference,_x000a_ By selector, _x000a_int matchTimeout, _x000a_String tag"/>
    <s v="Switches into the given frame, takes a snapshot of the application under_x000a_     * test and matches a region specified by the given selector._x000a_     * @param frameReference The element which is the frame to switch to. (as would be used in a call to driver.switchTo().frame())._x000a_     * @param selector       A Selector specifying the region to check._x000a_     * @param matchTimeout   The amount of time to retry matching. (Milliseconds)_x000a_     * @param tag            An optional tag to be associated with the snapshot._x000a_     * @param stitchContent  If {@code true}, stitch the internal content of the region (i.e., perform {@link #checkElement(By, int, String)} on the region."/>
  </r>
  <r>
    <s v="base-advanced"/>
    <n v="2"/>
    <x v="3"/>
    <x v="15"/>
    <s v="eyes"/>
    <s v="void"/>
    <s v="checkRegionInFrame()"/>
    <s v="WebElement frameReference, _x000a_By selector, _x000a_int matchTimeout, _x000a_String tag, _x000a_boolean stitchContent"/>
    <m/>
  </r>
  <r>
    <s v="base-advanced"/>
    <n v="2"/>
    <x v="3"/>
    <x v="15"/>
    <s v="eyes"/>
    <s v="stitchContent"/>
    <s v="checkRegionInFrame()"/>
    <s v="WebElement frameReference, _x000a_By selector, _x000a_int matchTimeout, _x000a_String tag,_x000a_ boolean stitchContent"/>
    <m/>
  </r>
  <r>
    <s v="base-advanced"/>
    <n v="2"/>
    <x v="3"/>
    <x v="15"/>
    <s v="eyes"/>
    <s v="void"/>
    <s v="checkRegionInFrame()"/>
    <s v="(String[] framePath, _x000a_By selector, _x000a_int matchTimeout, _x000a_String tag"/>
    <s v="See {@link #checkRegionInFrame(String[], By, int, String, boolean)}.      * {@code stitchContent} defaults to {@code false}"/>
  </r>
  <r>
    <s v="base-advanced"/>
    <n v="2"/>
    <x v="3"/>
    <x v="15"/>
    <s v="eyes"/>
    <s v="void"/>
    <s v="checkRegionInFrame()"/>
    <s v="String[] framePath, _x000a_By selector"/>
    <s v="See {@link #checkRegionInFrame(String[], By, int, String)}. Default match timeout is used.  {@code tag} defaults to {@code null}."/>
  </r>
  <r>
    <s v="base-advanced"/>
    <n v="2"/>
    <x v="3"/>
    <x v="15"/>
    <s v="eyes"/>
    <s v="void"/>
    <s v="checkRegionInFrame()"/>
    <s v="String frameNameOrId,_x000a_ By selector,  _x000a_String tag_x000a_boolean stitchContent"/>
    <s v="See {@link #checkRegionInFrame(String, By, int, String, boolean)}. {@code stitchContent} defaults to {@code null}."/>
  </r>
  <r>
    <s v="base-advanced"/>
    <n v="2"/>
    <x v="3"/>
    <x v="15"/>
    <s v="eyes"/>
    <m/>
    <s v="checkRegionInFrame()"/>
    <s v="String[] framePath, _x000a_By selector"/>
    <s v="Switches into the given frame, takes a snapshot of the application under test and matches a region specified by the given selector._x000a_     * @param framePath     The path to the frame to check. This is a list of_x000a_     *                      frame names/IDs (where each frame is nested in the previous frame)._x000a_     * @param selector      A Selector specifying the region to check._x000a_     * @param matchTimeout  The amount of time to retry matching (milliseconds)._x000a_     * @param tag           An optional tag to be associated with the snapshot._x000a_     * @param stitchContent Whether or not to stitch the internal content of the region (i.e., perform {@link #checkElement(By, int, String)} on the region."/>
  </r>
  <r>
    <s v="deprecated"/>
    <m/>
    <x v="4"/>
    <x v="16"/>
    <s v="eyesBase"/>
    <s v="MatchLevel"/>
    <s v=" getMatchLevel()"/>
    <s v="()"/>
    <s v="@return The test-wide match level._x000a_     * @deprecated Please use{@link #getDefaultMatchSettings} instead._x000a_"/>
  </r>
  <r>
    <s v="deprecated"/>
    <m/>
    <x v="5"/>
    <x v="17"/>
    <s v="eyesBase"/>
    <s v="void"/>
    <s v=" setMatchLevel() "/>
    <s v="MatchLevel matchLevel"/>
    <s v="This function is deprecated. Please use {@link #setDefaultMatchSettings} instead._x000a_     * &lt;p&gt;_x000a_     * The test-wide match level to use when checking application screenshot with the expected output._x000a_     * @param matchLevel The match level setting._x000a_     * @see com.applitools.eyes.MatchLevel_x000a_"/>
  </r>
  <r>
    <s v="match_management"/>
    <m/>
    <x v="6"/>
    <x v="18"/>
    <s v="eyesBase"/>
    <s v="void"/>
    <s v=" addProperty() "/>
    <s v="String name, _x000a_String value"/>
    <s v="* Adds a property to be sent to the server._x000a_     * @param name  The property name._x000a_     * @param value The property value._x000a_"/>
  </r>
  <r>
    <s v="match_management"/>
    <m/>
    <x v="7"/>
    <x v="19"/>
    <s v="eyesBase"/>
    <s v="String"/>
    <s v=" getAppName() "/>
    <s v="()"/>
    <s v="* @return The name of the application under test."/>
  </r>
  <r>
    <s v="match_management"/>
    <m/>
    <x v="8"/>
    <x v="20"/>
    <s v="eyesBase"/>
    <s v="Batchinfo"/>
    <s v=" getBatch() "/>
    <m/>
    <s v="@return The currently set batch info."/>
  </r>
  <r>
    <s v="match_management"/>
    <m/>
    <x v="9"/>
    <x v="21"/>
    <s v="eyesBase"/>
    <s v="String"/>
    <s v=" getParentBranchName() "/>
    <s v="()"/>
    <s v="@return The name of the current parent branch under which new branches will be created. (see {@link #setParentBranchName(String)})._x000a_"/>
  </r>
  <r>
    <s v="match_management"/>
    <m/>
    <x v="7"/>
    <x v="22"/>
    <s v="eyesBase"/>
    <s v="boolean"/>
    <s v=" getSaveFailedTests() "/>
    <s v="()"/>
    <s v="* @return True if failed tests are saved by default."/>
  </r>
  <r>
    <s v="match_management"/>
    <m/>
    <x v="7"/>
    <x v="23"/>
    <s v="eyesBase"/>
    <s v="boolean"/>
    <s v=" getSaveNewTests()"/>
    <s v="()"/>
    <s v="@return True if new tests are saved by default."/>
  </r>
  <r>
    <s v="match_management"/>
    <m/>
    <x v="7"/>
    <x v="24"/>
    <s v="eyesBase"/>
    <s v="void"/>
    <s v=" setAppName() "/>
    <s v="String appName"/>
    <s v="@param appName The name of the application under test (used instead of passing a parameter to open)"/>
  </r>
  <r>
    <s v="match_management"/>
    <m/>
    <x v="8"/>
    <x v="25"/>
    <s v="eyesBase"/>
    <s v="void"/>
    <s v=" setBatch() "/>
    <s v="BatchInfo batch"/>
    <s v="* Sets the batch in which context future tests will run or {@code null} if tests are to run standalone._x000a_     * @param batch The batch info to set._x000a_"/>
  </r>
  <r>
    <s v="match_management"/>
    <m/>
    <x v="7"/>
    <x v="26"/>
    <s v="eyesBase"/>
    <s v="void"/>
    <s v=" setHostOS()"/>
    <s v="String hostOS"/>
    <s v="@param hostOS The host OS running the AUT. Overides the default which is extracted implicitly from the infrastructure. "/>
  </r>
  <r>
    <s v="match_management"/>
    <m/>
    <x v="7"/>
    <x v="27"/>
    <s v="eyesBase"/>
    <s v="void"/>
    <s v=" setSaveNewTests() "/>
    <s v="boolean saveNewTests"/>
    <s v="Set whether or not new tests are saved as a baseline if they match._x000a_ @param saveNewTests True if new tests should be saved by default. False otherwise. _x000a_"/>
  </r>
  <r>
    <s v="match_management"/>
    <m/>
    <x v="7"/>
    <x v="28"/>
    <s v="eyesBase"/>
    <m/>
    <s v="getBaselineEnvName() "/>
    <s v="()"/>
    <s v="If not {@code null}, determines the name of the environment of the baseline._x000a_     * @return The name of the baseline's environment, or {@code null} if no such name was set._x000a_"/>
  </r>
  <r>
    <s v="match_management"/>
    <m/>
    <x v="9"/>
    <x v="29"/>
    <s v="eyesBase"/>
    <s v="String"/>
    <s v="getBranchName() "/>
    <s v="()"/>
    <s v=" @return The current branch (see {@link #setBranchName(String)})._x000a_"/>
  </r>
  <r>
    <s v="match_management"/>
    <m/>
    <x v="7"/>
    <x v="30"/>
    <s v="eyesBase"/>
    <s v="String"/>
    <s v="getEnvName() "/>
    <s v="()"/>
    <s v="If not {@code null} specifies a name for the environment in which the application under test is running._x000a_     * @return The name of the environment of the baseline, or {@code null} if no such name was set._x000a_"/>
  </r>
  <r>
    <s v="match_management"/>
    <m/>
    <x v="7"/>
    <x v="31"/>
    <s v="eyesBase"/>
    <s v="String"/>
    <s v="getHostApp() "/>
    <s v="()"/>
    <s v="@return The application name running the AUT."/>
  </r>
  <r>
    <s v="match_management"/>
    <m/>
    <x v="7"/>
    <x v="32"/>
    <s v="eyesBase"/>
    <s v="String"/>
    <s v="getHostOS() "/>
    <s v="()"/>
    <s v="@return get the host OS running the AUT."/>
  </r>
  <r>
    <s v="match_management"/>
    <m/>
    <x v="9"/>
    <x v="33"/>
    <s v="eyesBase"/>
    <s v="void"/>
    <s v="setBranchName() "/>
    <s v="String branchName"/>
    <s v="Sets the branch in which the baseline for subsequent test runs resides._x000a_     * If the branch does not already exist it will be created under the specified parent branch (see {@link #setParentBranchName})._x000a_     * Changes to the baseline or model of a branch do not propagate to other branches._x000a_     * @param branchName Branch name or {@code null} to specify the default branch._x000a_"/>
  </r>
  <r>
    <s v="match_management"/>
    <m/>
    <x v="7"/>
    <x v="34"/>
    <s v="eyesBase"/>
    <s v="void"/>
    <s v="setEnvName() "/>
    <s v="String envName"/>
    <s v="* If not {@code null} specifies a name for the environment in which the application under test is running._x000a_     * @param envName The name of the environment of the baseline._x000a_"/>
  </r>
  <r>
    <s v="match_management"/>
    <m/>
    <x v="7"/>
    <x v="35"/>
    <s v="eyesBase"/>
    <s v="void"/>
    <s v="setHostApp() "/>
    <s v="String hostApp"/>
    <s v="* @param hostApp The application running the AUT (e.g., Chrome). Hus overides the default which is extracted implicitly from the infrastructure. "/>
  </r>
  <r>
    <s v="match_management"/>
    <m/>
    <x v="9"/>
    <x v="36"/>
    <s v="eyesBase"/>
    <s v="void"/>
    <s v="setParentBranchName()"/>
    <s v="String branchName"/>
    <s v="* @return The name of the current parent branch under which new branches will be created. (see {@link #setParentBranchName(String)})._x000a_"/>
  </r>
  <r>
    <s v="match_management"/>
    <m/>
    <x v="7"/>
    <x v="37"/>
    <s v="eyesBase"/>
    <s v="void"/>
    <s v="setSaveFailedTests() "/>
    <s v="boolean saveFailedTests"/>
    <s v="Set whether or not failed tests are saved as a new baseline  or not_x000a_     * @param saveFailedTests True if failed tests should be saved by default, false otherwise._x000a_"/>
  </r>
  <r>
    <s v="match_tuning"/>
    <m/>
    <x v="5"/>
    <x v="38"/>
    <s v="eyesBase"/>
    <s v="ImageMatchSettings"/>
    <s v=" getDefaultMatchSettings() "/>
    <s v="                                                defaultMatchSettings"/>
    <s v="@return The match settings used for the session. Applicable when the MatchSetting is &quot;EXACT&quot;"/>
  </r>
  <r>
    <s v="match_tuning"/>
    <m/>
    <x v="10"/>
    <x v="39"/>
    <s v="eyesBase"/>
    <s v="boolean"/>
    <s v=" getIgnoreCaret() "/>
    <s v="()"/>
    <s v="* @return Whether to ignore or the blinking caret or not when comparing images."/>
  </r>
  <r>
    <s v="match_tuning"/>
    <m/>
    <x v="5"/>
    <x v="40"/>
    <s v="eyesBase"/>
    <s v="void"/>
    <s v=" setDefaultMatchSettings() _x000a_"/>
    <s v="ImageMatchSettings"/>
    <s v="Updates the match settings to be used for the session._x000a_     * @param defaultMatchSettings The match settings to be used for the session._x000a_"/>
  </r>
  <r>
    <s v="match_tuning"/>
    <m/>
    <x v="10"/>
    <x v="41"/>
    <s v="eyes"/>
    <s v="boolean"/>
    <s v="getHideScrollbars()"/>
    <s v="()"/>
    <s v="     * @return Whether or not scrollbars are hidden when taking screenshots."/>
  </r>
  <r>
    <s v="match_tuning"/>
    <m/>
    <x v="11"/>
    <x v="42"/>
    <s v="eyes"/>
    <s v="ImageRotation"/>
    <s v="getRotation()"/>
    <s v="()"/>
    <s v="     * @return The image rotation data."/>
  </r>
  <r>
    <s v="match_tuning"/>
    <m/>
    <x v="10"/>
    <x v="43"/>
    <s v="eyes"/>
    <s v="void"/>
    <s v="setHideScrollbars()"/>
    <s v="boolean shouldHide"/>
    <s v="     * Hide the scrollbars when taking screenshots._x000a_ @param shouldHide Whether to hide the scrollbars or not."/>
  </r>
  <r>
    <s v="match_tuning"/>
    <m/>
    <x v="10"/>
    <x v="44"/>
    <s v="eyesBase"/>
    <s v="void"/>
    <s v="setIgnoreCaret() "/>
    <s v="boolean value"/>
    <s v="Sets the ignore blinking caret value._x000a_     * @param value The ignore value._x000a_"/>
  </r>
  <r>
    <s v="match_tuning"/>
    <m/>
    <x v="11"/>
    <x v="45"/>
    <s v="eyes"/>
    <s v="void"/>
    <s v="setRotation()"/>
    <s v="ImageRotation rotation"/>
    <s v="     * @param rotation The image rotation data."/>
  </r>
  <r>
    <s v="platform control"/>
    <m/>
    <x v="12"/>
    <x v="46"/>
    <s v="eyesBase"/>
    <s v="LogHandler"/>
    <s v=" getLogHandler() "/>
    <s v="()"/>
    <s v="@return The currently set log handler."/>
  </r>
  <r>
    <s v="platform control"/>
    <m/>
    <x v="13"/>
    <x v="47"/>
    <s v="eyesBase"/>
    <s v="ProxySettings"/>
    <s v=" getProxy()"/>
    <s v="()"/>
    <s v="@return The current proxy settings used by the server connector,or {@code null} if no proxy is set._x000a_"/>
  </r>
  <r>
    <s v="platform control"/>
    <m/>
    <x v="13"/>
    <x v="48"/>
    <s v="eyesBase"/>
    <s v="URI"/>
    <s v=" getServerUrl()"/>
    <s v="()"/>
    <s v="@return The URI of the eyes server."/>
  </r>
  <r>
    <s v="platform control"/>
    <m/>
    <x v="11"/>
    <x v="49"/>
    <s v="eyesBase"/>
    <s v="int"/>
    <s v=" getStitchOverlap() "/>
    <s v="()"/>
    <s v=" @return Returns the stitching overlap in pixels."/>
  </r>
  <r>
    <s v="platform control"/>
    <m/>
    <x v="11"/>
    <x v="50"/>
    <s v="eyes"/>
    <s v="RectangleSize"/>
    <s v=" getViewportSize("/>
    <s v="WebDriver driver)"/>
    <s v="Use this method only if you made a previous call to {@link #open (WebDriver, String, String)} or one of its variants. &lt;p&gt;  {@inheritDoc}"/>
  </r>
  <r>
    <s v="platform control"/>
    <m/>
    <x v="13"/>
    <x v="51"/>
    <s v="eyesBase"/>
    <s v="void"/>
    <s v=" setProxy() "/>
    <s v="ProxySettings proxySettings"/>
    <s v="Sets the proxy settings to be used by the rest client._x000a_     * @param proxySettings The proxy settings to be used by the rest client. If {@code null} then no proxy is set._x000a_"/>
  </r>
  <r>
    <s v="platform control"/>
    <m/>
    <x v="13"/>
    <x v="52"/>
    <s v="eyesBase"/>
    <s v="void"/>
    <s v=" setServerUrl() "/>
    <s v="URI serverUrl"/>
    <s v="* Sets the current server URL used by the rest client. (TBD is the word &quot;rest&quot; relevent here ? Calling application perhaps /_x000a_     * @param serverUrl The URI of the rest server, or {@code null} to use  the default server._x000a_"/>
  </r>
  <r>
    <s v="platform control"/>
    <m/>
    <x v="11"/>
    <x v="53"/>
    <s v="eyesBase"/>
    <s v="void"/>
    <s v=" setStitchOverlap() "/>
    <s v="int pixels"/>
    <s v="Sets the stitching overlap in pixels._x000a_     * @param pixels The width (in pixels) of the overlap._x000a_"/>
  </r>
  <r>
    <s v="platform control"/>
    <m/>
    <x v="11"/>
    <x v="54"/>
    <s v="eyes"/>
    <s v="boolean"/>
    <s v="getScrollToRegion()"/>
    <s v="()"/>
    <s v="     * @return Whether to automatically scroll to a region being validated."/>
  </r>
  <r>
    <s v="platform control"/>
    <m/>
    <x v="11"/>
    <x v="55"/>
    <s v="eyes"/>
    <s v="StitchMode"/>
    <s v="getStitchMode()"/>
    <s v="()"/>
    <s v="     * @return The current stitch mode settings."/>
  </r>
  <r>
    <s v="platform control"/>
    <m/>
    <x v="11"/>
    <x v="56"/>
    <s v="eyes"/>
    <s v="RectangleSize"/>
    <s v="getViewportSize()"/>
    <s v="()"/>
    <s v="@Override"/>
  </r>
  <r>
    <s v="platform control"/>
    <m/>
    <x v="14"/>
    <x v="57"/>
    <s v="eyes"/>
    <s v="int"/>
    <s v="getWaitBeforeScreenshots()"/>
    <s v="()"/>
    <s v="@return The time to wait just before taking a screenshot."/>
  </r>
  <r>
    <s v="platform control"/>
    <m/>
    <x v="10"/>
    <x v="58"/>
    <s v="eyesBase"/>
    <s v="void"/>
    <s v="setImageCut()"/>
    <s v="CutProvider cutProvider"/>
    <s v="Manually set the the sizes to cut from an image before it's validated._x000a_     * @param cutProvider the provider doing the cut."/>
  </r>
  <r>
    <s v="platform control"/>
    <m/>
    <x v="12"/>
    <x v="59"/>
    <s v="eyesBase"/>
    <s v="void"/>
    <s v="setLogHandler()"/>
    <s v="LogHandler logHandler"/>
    <s v="Sets a handler of log messages generated by this API._x000a_     * @param logHandler Handles log messages generated by this API._x000a_"/>
  </r>
  <r>
    <s v="platform control"/>
    <m/>
    <x v="11"/>
    <x v="60"/>
    <s v="eyes"/>
    <s v="void"/>
    <s v="setScrollToRegion()"/>
    <s v="boolean shouldScroll"/>
    <s v=" Turns on/off the automatic scrolling to a region being checked by {@code checkRegion} _x000a_@param shouldScroll Whether to automatically scroll to a region being validated."/>
  </r>
  <r>
    <s v="platform control"/>
    <m/>
    <x v="11"/>
    <x v="61"/>
    <s v="eyes"/>
    <s v="void"/>
    <s v="setStitchMode()"/>
    <s v="StitchMode mode"/>
    <s v="Set the type of stitching used for full page screenshots. When the page includes fixed position header/sidebar, use {@link StitchMode#CSS}. Default is {@link StitchMode#SCROLL}._x000a_@param mode The stitch mode to set."/>
  </r>
  <r>
    <s v="platform control"/>
    <m/>
    <x v="14"/>
    <x v="62"/>
    <s v="eyes"/>
    <s v="void"/>
    <s v="setWaitBeforeScreenshots()"/>
    <s v="int waitBeforeScreenshots"/>
    <s v="Sets the time to wait just before taking a screenshot (e.g., to allow smaller or equal to 0, will cause the efault value to be used. positioning to stabilize when performing a full page stitching). @param waitBeforeScreenshots The time to wait (Milliseconds). Values"/>
  </r>
  <r>
    <s v="platform control"/>
    <m/>
    <x v="15"/>
    <x v="63"/>
    <s v="eyes"/>
    <s v="boolean"/>
    <s v="shouldStitchContent() "/>
    <s v="()"/>
    <s v="NO COMMENT"/>
  </r>
  <r>
    <s v="platform control"/>
    <m/>
    <x v="11"/>
    <x v="64"/>
    <s v="eyes"/>
    <s v="void"/>
    <s v="staticsetViewportSize()"/>
    <s v="WebDriver driver, _x000a_RectangleSize size"/>
    <s v="Use this method only if you made a previous call to {@link #open      * (WebDriver, String, String)} or one of its variants.     * &lt;p&gt;      * {@inheritDoc}     * Set the viewport size using the driver. Call his method if for some     * reason you don't want to call {@link #open(WebDriver, String, String)}     * or one of its variants) yet.     * @param driver The driver to use for setting the viewport.     * @param size   The required viewport size."/>
  </r>
  <r>
    <s v="playbackControl"/>
    <m/>
    <x v="16"/>
    <x v="65"/>
    <s v="eyes"/>
    <s v="void"/>
    <s v="addMouseTrigger()"/>
    <s v="MouseAction action, _x000a_Region control, _x000a_Location cursor"/>
    <s v="Adds a mouse trigger._x000a_     * @param action  Mouse action._x000a_     * @param control The control on which the trigger is activated (context relative coordinates)._x000a_     * @param cursor  The cursor's position relative to the control."/>
  </r>
  <r>
    <s v="playbackControl"/>
    <m/>
    <x v="16"/>
    <x v="65"/>
    <s v="eyes"/>
    <s v="void"/>
    <s v="addMouseTrigger()"/>
    <s v="MouseAction action, _x000a_WebElement element"/>
    <s v="Adds a mouse trigger._x000a_     * @param action  Mouse action._x000a_     * @param element The WebElement on which the click was called."/>
  </r>
  <r>
    <s v="playbackControl"/>
    <m/>
    <x v="16"/>
    <x v="66"/>
    <s v="eyes"/>
    <s v="void"/>
    <s v="addTextTrigger()"/>
    <s v="Region control, _x000a_String text"/>
    <s v="Adds a keyboard trigger._x000a_@param control The control's context-relative region._x000a_@param text    The trigger's text."/>
  </r>
  <r>
    <s v="playbackControl"/>
    <m/>
    <x v="16"/>
    <x v="66"/>
    <s v="eyes"/>
    <s v="void"/>
    <s v="addTextTrigger()"/>
    <s v="WebElement element,_x000a_String text"/>
    <s v="Adds a keyboard trigger. _x000a_@param element The element for which we sent keys._x000a_@param text    The trigger's text."/>
  </r>
  <r>
    <s v="tbd"/>
    <m/>
    <x v="11"/>
    <x v="67"/>
    <s v="eyesBase"/>
    <s v="double"/>
    <s v=" getScaleRatio() "/>
    <s v="()"/>
    <s v="* @return The ratio used to scale the images being validated."/>
  </r>
  <r>
    <s v="tbd"/>
    <m/>
    <x v="11"/>
    <x v="68"/>
    <s v="eyesBase"/>
    <s v="void"/>
    <s v=" setExplicitViewportSize() "/>
    <s v="RectangleSize explicitViewportSize"/>
    <s v="Define the viewport size as {@code size} without doing any actual action on the_x000a_     *_x000a_     * @param explicitViewportSize The size of the viewport. {@code null} disables the explicit size._x000a_"/>
  </r>
  <r>
    <s v="tbd"/>
    <m/>
    <x v="11"/>
    <x v="69"/>
    <s v="eyesBase"/>
    <s v="void"/>
    <s v=" setScaleRatio() "/>
    <s v="Double scaleRatio"/>
    <s v="Manually set the scale ratio for the images being validated._x000a_     * @param scaleRatio The scale ratio to use, or {@code null} to reset back to automatic scaling._x000a_"/>
  </r>
  <r>
    <s v="tbd"/>
    <m/>
    <x v="15"/>
    <x v="70"/>
    <s v="eyes"/>
    <s v="final"/>
    <s v=" static final double DEFAULT_DEVICE_PIXEL_RATIO = 1;"/>
    <m/>
    <s v="NO COMMENT"/>
  </r>
  <r>
    <s v="tbd"/>
    <m/>
    <x v="15"/>
    <x v="71"/>
    <s v="eyes"/>
    <s v="final"/>
    <s v=" static final double UNKNOWN_DEVICE_PIXEL_RATIO = 0;"/>
    <m/>
    <s v="NO COMMENT"/>
  </r>
  <r>
    <s v="tbd"/>
    <m/>
    <x v="11"/>
    <x v="72"/>
    <s v="eyes"/>
    <s v="double"/>
    <s v="getDevicePixelRatio()"/>
    <m/>
    <s v="     * @return The device pixel ratio, or {@link #UNKNOWN_DEVICE_PIXEL_RATIO}      * if the DPR is not known yet or if it wasn't possible to extract it."/>
  </r>
  <r>
    <s v="tbd"/>
    <m/>
    <x v="17"/>
    <x v="73"/>
    <s v="eyes"/>
    <s v="WebDriver"/>
    <s v="getDriver()"/>
    <s v="()"/>
    <s v="NO COMMENT"/>
  </r>
  <r>
    <s v="tbd"/>
    <m/>
    <x v="15"/>
    <x v="74"/>
    <s v="eyes"/>
    <s v="void"/>
    <s v="testResponseTime()"/>
    <s v="final WebDriver driver, _x000a_String appName, _x000a_String testName, _x000a_final WebDriverAction action,_x000a_ int deadline,_x000a_ int timeout"/>
    <s v="Run a visual performance test.    _x000a_@param driver   The driver to use.     _x000a_@param appName  The name of the application being tested. _x000a_@param testName The test name_x000a_@param action   Actions to be performed in parallel to starting the test._x000a_@param deadline The expected time until the application should have been loaded. (Seconds)_x000a_@param timeout  The maximum time until the application should have been loaded. (Seconds)"/>
  </r>
  <r>
    <s v="tbd"/>
    <m/>
    <x v="15"/>
    <x v="74"/>
    <s v="eyes"/>
    <s v="void"/>
    <s v="testResponseTime()"/>
    <s v="WebDriver driver, _x000a_String appName,    _x000a_String testName, _x000a_WebDriverAction action, _x000a_int deadline"/>
    <s v=" See {@link #testResponseTime(WebDriver, String, String, WebDriverAction, int, int)}.  {@code timeout} defaults to {@code deadline} + {@link #RESPONSE_TIME_DEFAULT_DIFF_FROM_DEADLINE}."/>
  </r>
  <r>
    <s v="tbd"/>
    <m/>
    <x v="15"/>
    <x v="74"/>
    <s v="eyes"/>
    <s v="void"/>
    <s v="testResponseTime()"/>
    <s v="WebDriver driver, _x000a_String appName,_x000a_ String testName,_x000a_ int deadline"/>
    <s v="See {@link #testResponseTime(WebDriver, String, String, WebDriverAction, int, int)}._x000a_     * {@code action} defaults to {@code null}._x000a_     * {@code timeout} defaults to {@code deadline} + {@link #RESPONSE_TIME_DEFAULT_DIFF_FROM_DEADLINE}."/>
  </r>
  <r>
    <s v="tbd"/>
    <m/>
    <x v="15"/>
    <x v="74"/>
    <s v="eyes"/>
    <s v="void"/>
    <s v="testResponseTime()"/>
    <s v="WebDriver driver, _x000a_String appName,  _x000a_String testName"/>
    <s v="See {@link #testResponseTime(WebDriver, String, String, WebDriverAction, int, int)}._x000a_     * {@code deadline} defaults to {@link #RESPONSE_TIME_DEFAULT_DEADLINE}._x000a_     * {@code timeout} defaults to {@link #RESPONSE_TIME_DEFAULT_DEADLINE} + {@link #RESPONSE_TIME_DEFAULT_DIFF_FROM_DEADLINE}._x000a_     * {@code action} defaults to {@code null}."/>
  </r>
  <r>
    <s v="tbd"/>
    <m/>
    <x v="15"/>
    <x v="74"/>
    <s v="eyes"/>
    <s v="void"/>
    <s v="testResponseTime()"/>
    <s v="WebDriver driver,_x000a_ String appName, _x000a_ String testName, _x000a_WebDriverAction action, _x000a_ int deadline,_x000a_ int timeout,      _x000a_RectangleSize viewportSize"/>
    <s v="Similar to {@link #testResponseTime(WebDriver, String, String, WebDriverAction, int, int)}, except this method sets the viewport size before starting the performance test._x000a_     * @param viewportSize The required viewport size."/>
  </r>
  <r>
    <s v="tbd"/>
    <m/>
    <x v="15"/>
    <x v="74"/>
    <s v="eyes"/>
    <s v="void"/>
    <s v="testResponseTime()"/>
    <s v="WebDriver driver,_x000a_ String appName,  _x000a_String testName, _x000a_WebDriverAction action, _x000a_int deadline,_x000a_ RectangleSize viewportSize"/>
    <s v="See {@link #testResponseTime(WebDriver, String, String, WebDriverAction, int, int, RectangleSize)}. {@code timeout} defaults to {@code deadline} + {@link #RESPONSE_TIME_DEFAULT_DIFF_FROM_DEADLINE}. "/>
  </r>
  <r>
    <s v="tbd"/>
    <m/>
    <x v="15"/>
    <x v="74"/>
    <s v="eyes"/>
    <s v="void"/>
    <s v="testResponseTime()"/>
    <s v="WebDriver driver, _x000a_String appName, _x000a_String testName,_x000a_int deadline,_x000a_int timeout,_x000a_RectangleSize viewportSize"/>
    <s v="See {@link #testResponseTime(WebDriver, String, String, int, int, RectangleSize)}. {@code timeout} defaults to {@code deadline} + {@link #RESPONSE_TIME_DEFAULT_DIFF_FROM_DEADLINE}."/>
  </r>
  <r>
    <s v="tbd"/>
    <m/>
    <x v="15"/>
    <x v="74"/>
    <s v="eyes"/>
    <s v="void"/>
    <s v="testResponseTime()"/>
    <s v="WebDriver driver, _x000a_String appName,  _x000a_String testName, _x000a_RectangleSize viewportSize"/>
    <s v="See {@link #testResponseTime(WebDriver, String, String, int, int, RectangleSize)}. {@code deadline} defaults to {@link #RESPONSE_TIME_DEFAULT_DEADLINE}. {@code timeout} defaults to {@link #RESPONSE_TIME_DEFAULT_DEADLINE} + {@link #RESPONSE_TIME_DEFAULT_DIFF_FROM_DEADLINE}."/>
  </r>
  <r>
    <s v="tbd"/>
    <m/>
    <x v="15"/>
    <x v="74"/>
    <s v="eyes"/>
    <s v="void"/>
    <s v="testResponseTime()"/>
    <s v="WebDriver driver, _x000a_String appName,_x000a_String testName, _x000a_WebDriverAction action"/>
    <s v="See {@link #testResponseTime(WebDriver, String, String, WebDriverAction, int, int)}.  {@code deadline} defaults to {@link #RESPONSE_TIME_DEFAULT_DEADLINE}.{@code timeout} defaults to {@link #RESPONSE_TIME_DEFAULT_DEADLINE} + {@link #RESPONSE_TIME_DEFAULT_DIFF_FROM_DEADLINE}."/>
  </r>
  <r>
    <s v="tbd"/>
    <m/>
    <x v="15"/>
    <x v="74"/>
    <s v="eyes"/>
    <s v="void"/>
    <s v="testResponseTime()"/>
    <s v="WebDriver driver,_x000a_ String appName, _x000a_String testName, _x000a_WebDriverAction action,  _x000a_ RectangleSize viewportSize"/>
    <s v="     * See {@link #testResponseTime(WebDriver, String, String, int, int, RectangleSize)}._x000a_     * {@code deadline} defaults to {@link #RESPONSE_TIME_DEFAULT_DEADLINE}._x000a_     * {@code timeout} defaults to {@link #RESPONSE_TIME_DEFAULT_DEADLINE} + {@link #RESPONSE_TIME_DEFAULT_DIFF_FROM_DEADLINE}."/>
  </r>
  <r>
    <s v="tbd"/>
    <m/>
    <x v="15"/>
    <x v="74"/>
    <s v="eyes"/>
    <s v="void"/>
    <s v="testResponseTime()"/>
    <s v="WebDriver driver, _x000a_String appName,  _x000a_String testName, _x000a_int deadline,   _x000a_RectangleSize viewportSize"/>
    <s v="See {@link #testResponseTime(WebDriver, String, String, int, int, RectangleSize)}. {@code timeout} defaults to {@code deadline} + {@link #RESPONSE_TIME_DEFAULT_DIFF_FROM_DEADLINE}."/>
  </r>
  <r>
    <s v="tbd"/>
    <m/>
    <x v="17"/>
    <x v="75"/>
    <s v="eyes"/>
    <s v="interface"/>
    <s v="WebDriverAction"/>
    <m/>
    <s v="NO COMMENT"/>
  </r>
  <r>
    <s v="test control"/>
    <m/>
    <x v="18"/>
    <x v="76"/>
    <s v="eyesBase"/>
    <s v="FailureReports"/>
    <s v=" getFailureReports()"/>
    <s v="()"/>
    <s v="* @return the failure reports setting._x000a_"/>
  </r>
  <r>
    <s v="test control"/>
    <m/>
    <x v="18"/>
    <x v="77"/>
    <s v="eyesBase"/>
    <s v="boolean"/>
    <s v=" getIsDisabled() "/>
    <s v="()"/>
    <s v="@return Whether eyes is disabled."/>
  </r>
  <r>
    <s v="test control"/>
    <m/>
    <x v="14"/>
    <x v="78"/>
    <s v="eyesBase"/>
    <s v="int"/>
    <s v=" getMatchTimeout() "/>
    <s v="()"/>
    <s v="@return The maximum time in ms {@link #checkWindowBase (RegionProvider, String, boolean, int)} waits for a match._x000a_"/>
  </r>
  <r>
    <s v="test control"/>
    <m/>
    <x v="18"/>
    <x v="79"/>
    <s v="eyesBase"/>
    <s v="void"/>
    <s v=" setFailureReports()"/>
    <s v="FailureReports failureReports"/>
    <s v="@param failureReports _x000a_     * @see FailureReports_x000a_"/>
  </r>
  <r>
    <s v="test control"/>
    <m/>
    <x v="18"/>
    <x v="80"/>
    <s v="eyesBase"/>
    <s v="void"/>
    <s v=" setIsDisabled()"/>
    <s v="boolean isDisabled"/>
    <s v="@param isDisabled If true, all interactions with this API will be silently ignored._x000a_"/>
  </r>
  <r>
    <s v="test control"/>
    <m/>
    <x v="14"/>
    <x v="81"/>
    <s v="eyesBase"/>
    <s v="void"/>
    <s v=" setMatchTimeout() "/>
    <s v="int ms"/>
    <s v="Sets the maximum time (in ms) a match operation tries to perform a match. @param ms Total number of ms to wait for a match._x000a__x000a_"/>
  </r>
  <r>
    <s v="z_debug"/>
    <m/>
    <x v="19"/>
    <x v="82"/>
    <s v="eyesBase"/>
    <s v="String"/>
    <s v=" getDebugScreenshotsPath() "/>
    <s v="()"/>
    <s v="@return The path where you want to save the debug screenshots."/>
  </r>
  <r>
    <s v="z_debug"/>
    <m/>
    <x v="19"/>
    <x v="83"/>
    <s v="eyesBase"/>
    <s v="String"/>
    <s v=" getDebugScreenshotsPrefix() "/>
    <s v="()"/>
    <s v="@return The prefix for the screenshots' names."/>
  </r>
  <r>
    <s v="z_debug"/>
    <m/>
    <x v="19"/>
    <x v="84"/>
    <s v="eyesBase"/>
    <s v="DebugScreenshotsProvider"/>
    <s v=" getDebugScreenshotsProvider()"/>
    <s v="()"/>
    <s v="NO COMMENT"/>
  </r>
  <r>
    <s v="z_debug"/>
    <m/>
    <x v="19"/>
    <x v="85"/>
    <s v="eyesBase"/>
    <s v="boolean"/>
    <s v=" getSaveDebugScreenshots() "/>
    <s v="()"/>
    <s v="* @return True if screenshots saving enabled."/>
  </r>
  <r>
    <s v="z_debug"/>
    <m/>
    <x v="19"/>
    <x v="86"/>
    <s v="eyesBase"/>
    <s v="void"/>
    <s v=" setDebugScreenshotsPath()"/>
    <s v="String pathToSave"/>
    <s v="@param pathToSave Path where you want to save the debug screenshots."/>
  </r>
  <r>
    <s v="z_debug"/>
    <m/>
    <x v="19"/>
    <x v="87"/>
    <s v="eyesBase"/>
    <s v="void"/>
    <s v=" setDebugScreenshotsPrefix()"/>
    <s v="String prefix"/>
    <s v="* @param prefix The prefix for the screenshots' names."/>
  </r>
  <r>
    <s v="z_debug"/>
    <m/>
    <x v="19"/>
    <x v="88"/>
    <s v="eyesBase"/>
    <s v="void"/>
    <s v=" setSaveDebugScreenshots() "/>
    <s v="boolean saveDebugScreenshots"/>
    <s v="@param saveDebugScreenshots If true, will save all screenshots to local directory."/>
  </r>
  <r>
    <s v="z_internal"/>
    <m/>
    <x v="15"/>
    <x v="89"/>
    <s v="eyesBase"/>
    <s v="String"/>
    <s v=" getAgentId() "/>
    <s v="()"/>
    <s v="* @return The user given agent id of the SDK."/>
  </r>
  <r>
    <s v="z_internal"/>
    <m/>
    <x v="20"/>
    <x v="90"/>
    <s v="eyesBase"/>
    <s v="URI"/>
    <s v=" getDefaultServerUrl() "/>
    <s v="()"/>
    <s v="NO COMMENT"/>
  </r>
  <r>
    <s v="z_internal"/>
    <m/>
    <x v="15"/>
    <x v="91"/>
    <s v="eyesBase"/>
    <s v="void"/>
    <s v=" setPositionProvider()"/>
    <s v="PositionProvider positionProvider"/>
    <s v="* @param positionProvider The position provider to be used."/>
  </r>
  <r>
    <s v="z_internal"/>
    <m/>
    <x v="15"/>
    <x v="92"/>
    <s v="eyes"/>
    <s v="String"/>
    <s v="getBaseAgentId()"/>
    <s v="()"/>
    <s v="NO COMMENT"/>
  </r>
  <r>
    <s v="z_internal"/>
    <m/>
    <x v="15"/>
    <x v="93"/>
    <s v="eyes"/>
    <s v="PositionProvider"/>
    <s v="getElementPositionProviderI()"/>
    <s v="()"/>
    <s v=" @return The currently set position provider."/>
  </r>
  <r>
    <s v="z_internal"/>
    <m/>
    <x v="15"/>
    <x v="94"/>
    <s v="eyesBase"/>
    <m/>
    <s v="PositionProvider getPositionProvider() "/>
    <s v="()"/>
    <s v="@return The currently set position provider."/>
  </r>
  <r>
    <s v="z_internal"/>
    <m/>
    <x v="15"/>
    <x v="95"/>
    <s v="eyesBase"/>
    <s v="void"/>
    <s v="setAgentId()"/>
    <s v="String agentId"/>
    <s v="Sets the user given agent id of the SDK._x000a_          @param agentId The agent ID to set. If it has the value of  {@code null} then this states that there is no id. TBD and therefore ? _x000a_"/>
  </r>
  <r>
    <s v="zz_deprecated"/>
    <m/>
    <x v="4"/>
    <x v="96"/>
    <s v="eyesBase"/>
    <s v="String"/>
    <s v="getBaselineName() "/>
    <s v="()"/>
    <s v="* @return The baseline name, if specified._x000a_     * @deprecated Only available for backward compatibility. See {@link #getBaselineEnvName()}._x000a_"/>
  </r>
  <r>
    <s v="zz_deprecated"/>
    <m/>
    <x v="4"/>
    <x v="97"/>
    <s v="eyesBase"/>
    <s v="void"/>
    <s v="setAppEnvironment() "/>
    <s v="String hostOS,_x000a_String hostApp"/>
    <s v="Superseded by {@link #setHostOS(String)} and {@link #setHostApp(String)}._x000a_     * Sets the OS (e.g., Windows) and application (e.g., Chrome) that host the application under test._x000a_     * @param hostOS  The name of the OS hosting the application under test or {@code null} to auto-detect._x000a_     * @param hostApp The name of the application hosting the application under test or {@code null} to auto-detect._x000a_@Deprecated_x000a_"/>
  </r>
  <r>
    <s v="zz_deprecated"/>
    <m/>
    <x v="4"/>
    <x v="98"/>
    <s v="eyesBase"/>
    <s v="void"/>
    <s v="setBaselineName()"/>
    <s v="String baselineName"/>
    <s v="@param baselineName If specified, determines the baseline to compare with and disables automatic baseline inference._x000a_     * @deprecated Only available for backward compatibility. See {@link #setBaselineEnvName(String)}._x000a_"/>
  </r>
  <r>
    <m/>
    <m/>
    <x v="13"/>
    <x v="99"/>
    <s v="ProxySettings"/>
    <m/>
    <m/>
    <m/>
    <m/>
  </r>
  <r>
    <m/>
    <m/>
    <x v="8"/>
    <x v="100"/>
    <s v="BatchInfo"/>
    <m/>
    <m/>
    <m/>
    <m/>
  </r>
  <r>
    <m/>
    <m/>
    <x v="0"/>
    <x v="101"/>
    <s v="WebDriver"/>
    <m/>
    <m/>
    <m/>
    <m/>
  </r>
  <r>
    <m/>
    <m/>
    <x v="3"/>
    <x v="102"/>
    <s v="Region"/>
    <m/>
    <m/>
    <m/>
    <m/>
  </r>
  <r>
    <m/>
    <m/>
    <x v="18"/>
    <x v="103"/>
    <s v="FailureReports"/>
    <m/>
    <m/>
    <m/>
    <s v="confiugration that determines if failures are reported immediately or only when the test is closed"/>
  </r>
  <r>
    <m/>
    <m/>
    <x v="5"/>
    <x v="104"/>
    <s v="ImageMatchSettings"/>
    <m/>
    <m/>
    <m/>
    <m/>
  </r>
  <r>
    <m/>
    <m/>
    <x v="5"/>
    <x v="105"/>
    <s v="MatchLevel"/>
    <m/>
    <m/>
    <m/>
    <m/>
  </r>
  <r>
    <m/>
    <m/>
    <x v="10"/>
    <x v="106"/>
    <s v="CutProvider"/>
    <m/>
    <m/>
    <m/>
    <m/>
  </r>
  <r>
    <m/>
    <m/>
    <x v="19"/>
    <x v="107"/>
    <s v="DebugScreenshotsProvider"/>
    <m/>
    <m/>
    <m/>
    <m/>
  </r>
  <r>
    <m/>
    <m/>
    <x v="21"/>
    <x v="108"/>
    <s v="TestResults"/>
    <m/>
    <m/>
    <m/>
    <m/>
  </r>
  <r>
    <m/>
    <m/>
    <x v="15"/>
    <x v="109"/>
    <s v="PositionProvider "/>
    <m/>
    <m/>
    <m/>
    <m/>
  </r>
  <r>
    <m/>
    <m/>
    <x v="0"/>
    <x v="110"/>
    <s v="URI"/>
    <m/>
    <m/>
    <m/>
    <m/>
  </r>
  <r>
    <m/>
    <m/>
    <x v="12"/>
    <x v="111"/>
    <s v="LogHandler"/>
    <m/>
    <m/>
    <m/>
    <s v="Allows client to define a handler for log messages producesd by the Eyes API"/>
  </r>
  <r>
    <m/>
    <m/>
    <x v="0"/>
    <x v="112"/>
    <s v="RectangleSize"/>
    <m/>
    <m/>
    <m/>
    <s v="epresents a 2D size (OF AN IMAGE ? Tbd)"/>
  </r>
  <r>
    <m/>
    <m/>
    <x v="11"/>
    <x v="113"/>
    <s v="StitchMode mode"/>
    <m/>
    <m/>
    <m/>
    <m/>
  </r>
  <r>
    <m/>
    <m/>
    <x v="11"/>
    <x v="114"/>
    <s v="ImageRotation"/>
    <m/>
    <m/>
    <m/>
    <m/>
  </r>
  <r>
    <m/>
    <m/>
    <x v="15"/>
    <x v="115"/>
    <s v="WebDriverAction"/>
    <m/>
    <m/>
    <m/>
    <s v="used only in testResponseTime"/>
  </r>
  <r>
    <m/>
    <m/>
    <x v="3"/>
    <x v="116"/>
    <s v="ICheckSettings"/>
    <m/>
    <m/>
    <m/>
    <m/>
  </r>
  <r>
    <m/>
    <m/>
    <x v="10"/>
    <x v="117"/>
    <s v="WebElement"/>
    <m/>
    <m/>
    <m/>
    <m/>
  </r>
  <r>
    <m/>
    <m/>
    <x v="3"/>
    <x v="118"/>
    <s v="By"/>
    <m/>
    <m/>
    <m/>
    <m/>
  </r>
  <r>
    <m/>
    <m/>
    <x v="16"/>
    <x v="119"/>
    <s v="MouseAction"/>
    <m/>
    <m/>
    <m/>
    <m/>
  </r>
  <r>
    <m/>
    <m/>
    <x v="3"/>
    <x v="120"/>
    <s v="Target"/>
    <m/>
    <m/>
    <m/>
    <s v="An instance of ICheckSettings"/>
  </r>
  <r>
    <m/>
    <m/>
    <x v="22"/>
    <x v="12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5" minRefreshableVersion="3" useAutoFormatting="1" rowGrandTotals="0" colGrandTotals="0" itemPrintTitles="1" createdVersion="6" indent="0" outline="1" outlineData="1" multipleFieldFilters="0">
  <location ref="A4:B26" firstHeaderRow="1" firstDataRow="1" firstDataCol="1"/>
  <pivotFields count="9">
    <pivotField subtotalTop="0" showAll="0"/>
    <pivotField subtotalTop="0" showAll="0"/>
    <pivotField axis="axisRow" subtotalTop="0" showAll="0" defaultSubtotal="0">
      <items count="43">
        <item m="1" x="41"/>
        <item m="1" x="28"/>
        <item m="1" x="24"/>
        <item m="1" x="25"/>
        <item m="1" x="29"/>
        <item m="1" x="39"/>
        <item m="1" x="26"/>
        <item sd="0" x="4"/>
        <item m="1" x="31"/>
        <item sd="0" x="15"/>
        <item m="1" x="27"/>
        <item m="1" x="32"/>
        <item m="1" x="35"/>
        <item m="1" x="33"/>
        <item m="1" x="23"/>
        <item sd="0" x="17"/>
        <item m="1" x="42"/>
        <item m="1" x="40"/>
        <item m="1" x="38"/>
        <item m="1" x="36"/>
        <item m="1" x="30"/>
        <item x="22"/>
        <item sd="0" x="0"/>
        <item sd="0" x="1"/>
        <item sd="0" x="2"/>
        <item sd="0" x="3"/>
        <item sd="0" x="5"/>
        <item sd="0" x="6"/>
        <item sd="0" x="8"/>
        <item sd="0" x="9"/>
        <item sd="0" x="7"/>
        <item m="1" x="37"/>
        <item m="1" x="34"/>
        <item sd="0" x="12"/>
        <item sd="0" x="13"/>
        <item sd="0" x="14"/>
        <item sd="0" x="16"/>
        <item sd="0" x="18"/>
        <item sd="0" x="19"/>
        <item sd="0" x="21"/>
        <item sd="0" x="10"/>
        <item sd="0" x="11"/>
        <item sd="0" x="20"/>
      </items>
    </pivotField>
    <pivotField axis="axisRow" dataField="1" subtotalTop="0" showAll="0" defaultSubtotal="0">
      <items count="130">
        <item x="100"/>
        <item x="118"/>
        <item x="106"/>
        <item x="107"/>
        <item x="0"/>
        <item m="1" x="124"/>
        <item x="50"/>
        <item x="70"/>
        <item x="71"/>
        <item x="65"/>
        <item x="66"/>
        <item x="11"/>
        <item x="12"/>
        <item m="1" x="128"/>
        <item x="13"/>
        <item x="14"/>
        <item m="1" x="127"/>
        <item m="1" x="129"/>
        <item x="15"/>
        <item m="1" x="126"/>
        <item m="1" x="125"/>
        <item x="7"/>
        <item x="92"/>
        <item x="72"/>
        <item x="73"/>
        <item x="93"/>
        <item x="4"/>
        <item x="41"/>
        <item x="42"/>
        <item x="54"/>
        <item x="55"/>
        <item x="56"/>
        <item x="57"/>
        <item x="5"/>
        <item x="3"/>
        <item x="43"/>
        <item x="45"/>
        <item x="60"/>
        <item x="61"/>
        <item x="62"/>
        <item x="63"/>
        <item x="64"/>
        <item x="74"/>
        <item m="1" x="123"/>
        <item x="10"/>
        <item m="1" x="122"/>
        <item x="75"/>
        <item x="9"/>
        <item x="18"/>
        <item x="8"/>
        <item x="89"/>
        <item x="2"/>
        <item x="19"/>
        <item x="20"/>
        <item x="82"/>
        <item x="83"/>
        <item x="84"/>
        <item x="38"/>
        <item x="90"/>
        <item x="76"/>
        <item x="39"/>
        <item x="77"/>
        <item x="6"/>
        <item x="46"/>
        <item x="16"/>
        <item x="78"/>
        <item x="21"/>
        <item x="47"/>
        <item x="85"/>
        <item x="22"/>
        <item x="23"/>
        <item x="67"/>
        <item x="48"/>
        <item x="49"/>
        <item x="1"/>
        <item x="24"/>
        <item x="25"/>
        <item x="86"/>
        <item x="87"/>
        <item x="40"/>
        <item x="68"/>
        <item x="79"/>
        <item x="26"/>
        <item x="80"/>
        <item x="17"/>
        <item x="81"/>
        <item x="91"/>
        <item x="51"/>
        <item x="88"/>
        <item x="27"/>
        <item x="69"/>
        <item x="52"/>
        <item x="53"/>
        <item x="28"/>
        <item x="96"/>
        <item x="29"/>
        <item x="30"/>
        <item x="31"/>
        <item x="32"/>
        <item x="94"/>
        <item x="95"/>
        <item x="97"/>
        <item x="98"/>
        <item x="33"/>
        <item x="34"/>
        <item x="35"/>
        <item x="44"/>
        <item x="58"/>
        <item x="59"/>
        <item x="36"/>
        <item x="37"/>
        <item x="103"/>
        <item x="116"/>
        <item x="104"/>
        <item x="114"/>
        <item x="111"/>
        <item x="105"/>
        <item x="119"/>
        <item x="109"/>
        <item x="99"/>
        <item x="112"/>
        <item x="102"/>
        <item x="113"/>
        <item x="108"/>
        <item x="110"/>
        <item x="101"/>
        <item x="115"/>
        <item x="117"/>
        <item h="1" x="121"/>
        <item h="1" x="120"/>
      </items>
    </pivotField>
    <pivotField subtotalTop="0" showAll="0"/>
    <pivotField subtotalTop="0" showAll="0"/>
    <pivotField subtotalTop="0" showAll="0"/>
    <pivotField subtotalTop="0" showAll="0"/>
    <pivotField subtotalTop="0" showAll="0"/>
  </pivotFields>
  <rowFields count="2">
    <field x="2"/>
    <field x="3"/>
  </rowFields>
  <rowItems count="22">
    <i>
      <x v="7"/>
    </i>
    <i>
      <x v="9"/>
    </i>
    <i>
      <x v="15"/>
    </i>
    <i>
      <x v="22"/>
    </i>
    <i>
      <x v="23"/>
    </i>
    <i>
      <x v="24"/>
    </i>
    <i>
      <x v="25"/>
    </i>
    <i>
      <x v="26"/>
    </i>
    <i>
      <x v="27"/>
    </i>
    <i>
      <x v="28"/>
    </i>
    <i>
      <x v="29"/>
    </i>
    <i>
      <x v="30"/>
    </i>
    <i>
      <x v="33"/>
    </i>
    <i>
      <x v="34"/>
    </i>
    <i>
      <x v="35"/>
    </i>
    <i>
      <x v="36"/>
    </i>
    <i>
      <x v="37"/>
    </i>
    <i>
      <x v="38"/>
    </i>
    <i>
      <x v="39"/>
    </i>
    <i>
      <x v="40"/>
    </i>
    <i>
      <x v="41"/>
    </i>
    <i>
      <x v="42"/>
    </i>
  </rowItems>
  <colItems count="1">
    <i/>
  </colItems>
  <dataFields count="1">
    <dataField name="Count of key" fld="3" subtotal="count" baseField="0" baseItem="0"/>
  </dataFields>
  <formats count="7">
    <format dxfId="8">
      <pivotArea dataOnly="0" labelOnly="1" fieldPosition="0">
        <references count="1">
          <reference field="2" count="1">
            <x v="25"/>
          </reference>
        </references>
      </pivotArea>
    </format>
    <format dxfId="7">
      <pivotArea dataOnly="0" labelOnly="1" fieldPosition="0">
        <references count="1">
          <reference field="2" count="1">
            <x v="28"/>
          </reference>
        </references>
      </pivotArea>
    </format>
    <format dxfId="6">
      <pivotArea dataOnly="0" labelOnly="1" fieldPosition="0">
        <references count="1">
          <reference field="2" count="1">
            <x v="29"/>
          </reference>
        </references>
      </pivotArea>
    </format>
    <format dxfId="5">
      <pivotArea dataOnly="0" labelOnly="1" fieldPosition="0">
        <references count="1">
          <reference field="2" count="1">
            <x v="30"/>
          </reference>
        </references>
      </pivotArea>
    </format>
    <format dxfId="4">
      <pivotArea dataOnly="0" labelOnly="1" fieldPosition="0">
        <references count="1">
          <reference field="2" count="1">
            <x v="30"/>
          </reference>
        </references>
      </pivotArea>
    </format>
    <format dxfId="3">
      <pivotArea dataOnly="0" labelOnly="1" fieldPosition="0">
        <references count="1">
          <reference field="2" count="0"/>
        </references>
      </pivotArea>
    </format>
    <format dxfId="2">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applitools.atlassian.net/wiki/pages/diffpagesbyversion.action?pageId=1540306&amp;selectedPageVersions=68&amp;selectedPageVersions=69" TargetMode="External"/><Relationship Id="rId13" Type="http://schemas.openxmlformats.org/officeDocument/2006/relationships/hyperlink" Target="https://applitools.atlassian.net/wiki/spaces/Java/pages/1540328/Selenium+-+JavaScript" TargetMode="External"/><Relationship Id="rId18" Type="http://schemas.openxmlformats.org/officeDocument/2006/relationships/hyperlink" Target="https://applitools.atlassian.net/wiki/pages/diffpagesbyversion.action?pageId=1540679&amp;selectedPageVersions=14&amp;selectedPageVersions=15" TargetMode="External"/><Relationship Id="rId26" Type="http://schemas.openxmlformats.org/officeDocument/2006/relationships/hyperlink" Target="https://applitools.atlassian.net/wiki/spaces/Java/pages/1540499/LeanFT" TargetMode="External"/><Relationship Id="rId39" Type="http://schemas.openxmlformats.org/officeDocument/2006/relationships/hyperlink" Target="http://support.applitools.com/" TargetMode="External"/><Relationship Id="rId3" Type="http://schemas.openxmlformats.org/officeDocument/2006/relationships/hyperlink" Target="https://applitools.atlassian.net/wiki/pages/diffpagesbyversion.action?pageId=1540753&amp;selectedPageVersions=83&amp;selectedPageVersions=84" TargetMode="External"/><Relationship Id="rId21" Type="http://schemas.openxmlformats.org/officeDocument/2006/relationships/hyperlink" Target="https://applitools.atlassian.net/wiki/pages/diffpagesbyversion.action?pageId=1540547&amp;selectedPageVersions=34&amp;selectedPageVersions=35" TargetMode="External"/><Relationship Id="rId34" Type="http://schemas.openxmlformats.org/officeDocument/2006/relationships/hyperlink" Target="https://applitools.atlassian.net/wiki/pages/diffpagesbyversion.action?pageId=1540555&amp;selectedPageVersions=26&amp;selectedPageVersions=27" TargetMode="External"/><Relationship Id="rId42" Type="http://schemas.openxmlformats.org/officeDocument/2006/relationships/hyperlink" Target="https://applitools.com/resources/tutorial" TargetMode="External"/><Relationship Id="rId7" Type="http://schemas.openxmlformats.org/officeDocument/2006/relationships/hyperlink" Target="http://support.applitools.com/customer/portal/articles/2356078" TargetMode="External"/><Relationship Id="rId12" Type="http://schemas.openxmlformats.org/officeDocument/2006/relationships/hyperlink" Target="https://applitools.atlassian.net/wiki/pages/diffpagesbyversion.action?pageId=1540328&amp;selectedPageVersions=46&amp;selectedPageVersions=47" TargetMode="External"/><Relationship Id="rId17" Type="http://schemas.openxmlformats.org/officeDocument/2006/relationships/hyperlink" Target="https://applitools.atlassian.net/wiki/spaces/Java/pages/1540331/Appium+-+Java" TargetMode="External"/><Relationship Id="rId25" Type="http://schemas.openxmlformats.org/officeDocument/2006/relationships/hyperlink" Target="https://applitools.atlassian.net/wiki/spaces/Java/pages/1540511/QTP+UFT" TargetMode="External"/><Relationship Id="rId33" Type="http://schemas.openxmlformats.org/officeDocument/2006/relationships/hyperlink" Target="https://applitools.atlassian.net/wiki/spaces/Java/pages/1540573/Images+SDKs+-+.Net" TargetMode="External"/><Relationship Id="rId38" Type="http://schemas.openxmlformats.org/officeDocument/2006/relationships/hyperlink" Target="https://applitools.atlassian.net/wiki/spaces/Java/pages/1540852/SDK+Guide" TargetMode="External"/><Relationship Id="rId46" Type="http://schemas.openxmlformats.org/officeDocument/2006/relationships/hyperlink" Target="https://applitools.com/resources/tutorial/selenium/python" TargetMode="External"/><Relationship Id="rId2" Type="http://schemas.openxmlformats.org/officeDocument/2006/relationships/hyperlink" Target="https://applitools.atlassian.net/wiki/pages/diffpagesbyversion.action?pageId=1540312&amp;selectedPageVersions=124&amp;selectedPageVersions=125" TargetMode="External"/><Relationship Id="rId16" Type="http://schemas.openxmlformats.org/officeDocument/2006/relationships/hyperlink" Target="https://applitools.atlassian.net/wiki/spaces/Java/pages/1540547/Appium+-+Ruby" TargetMode="External"/><Relationship Id="rId20" Type="http://schemas.openxmlformats.org/officeDocument/2006/relationships/hyperlink" Target="https://applitools.atlassian.net/wiki/spaces/Java/pages/1540302/Appium" TargetMode="External"/><Relationship Id="rId29" Type="http://schemas.openxmlformats.org/officeDocument/2006/relationships/hyperlink" Target="https://applitools.atlassian.net/wiki/spaces/Java/pages/1540487/Microsoft+coded+UI+-+.Net" TargetMode="External"/><Relationship Id="rId41" Type="http://schemas.openxmlformats.org/officeDocument/2006/relationships/hyperlink" Target="https://applitools.atlassian.net/wiki/spaces/Java/overview" TargetMode="External"/><Relationship Id="rId1" Type="http://schemas.openxmlformats.org/officeDocument/2006/relationships/hyperlink" Target="http://support.applitools.com/customer/portal/articles/2285997" TargetMode="External"/><Relationship Id="rId6" Type="http://schemas.openxmlformats.org/officeDocument/2006/relationships/hyperlink" Target="http://support.applitools.com/customer/portal/articles/2110085" TargetMode="External"/><Relationship Id="rId11" Type="http://schemas.openxmlformats.org/officeDocument/2006/relationships/hyperlink" Target="https://applitools.atlassian.net/wiki/spaces/Java/pages/1540146/Selenium+-+.Net" TargetMode="External"/><Relationship Id="rId24" Type="http://schemas.openxmlformats.org/officeDocument/2006/relationships/hyperlink" Target="https://applitools.atlassian.net/wiki/pages/diffpagesbyversion.action?pageId=1540511&amp;selectedPageVersions=15&amp;selectedPageVersions=16" TargetMode="External"/><Relationship Id="rId32" Type="http://schemas.openxmlformats.org/officeDocument/2006/relationships/hyperlink" Target="https://applitools.atlassian.net/wiki/pages/diffpagesbyversion.action?pageId=1540573&amp;selectedPageVersions=12&amp;selectedPageVersions=13" TargetMode="External"/><Relationship Id="rId37" Type="http://schemas.openxmlformats.org/officeDocument/2006/relationships/hyperlink" Target="https://applitools.atlassian.net/wiki/spaces/Java/pages/1540560/Process+SDKs+-+.Net" TargetMode="External"/><Relationship Id="rId40" Type="http://schemas.openxmlformats.org/officeDocument/2006/relationships/hyperlink" Target="http://support.applitools.com/customer/en/portal/topics/546074-faq/articles?t=628019" TargetMode="External"/><Relationship Id="rId45" Type="http://schemas.openxmlformats.org/officeDocument/2006/relationships/hyperlink" Target="https://applitools.com/resources/tutorial/selenium/php" TargetMode="External"/><Relationship Id="rId5" Type="http://schemas.openxmlformats.org/officeDocument/2006/relationships/hyperlink" Target="https://applitools.atlassian.net/wiki/spaces/Java/pages/1540753/Selenium+-+Ruby" TargetMode="External"/><Relationship Id="rId15" Type="http://schemas.openxmlformats.org/officeDocument/2006/relationships/hyperlink" Target="https://applitools.atlassian.net/wiki/pages/diffpagesbyversion.action?pageId=1540547&amp;selectedPageVersions=34&amp;selectedPageVersions=35" TargetMode="External"/><Relationship Id="rId23" Type="http://schemas.openxmlformats.org/officeDocument/2006/relationships/hyperlink" Target="https://applitools.atlassian.net/wiki/pages/diffpagesbyversion.action?pageId=1540300&amp;selectedPageVersions=24&amp;selectedPageVersions=25" TargetMode="External"/><Relationship Id="rId28" Type="http://schemas.openxmlformats.org/officeDocument/2006/relationships/hyperlink" Target="https://applitools.atlassian.net/wiki/pages/diffpagesbyversion.action?pageId=1540487&amp;selectedPageVersions=15&amp;selectedPageVersions=16" TargetMode="External"/><Relationship Id="rId36" Type="http://schemas.openxmlformats.org/officeDocument/2006/relationships/hyperlink" Target="https://applitools.atlassian.net/wiki/pages/diffpagesbyversion.action?pageId=1540560&amp;selectedPageVersions=13&amp;selectedPageVersions=14" TargetMode="External"/><Relationship Id="rId10" Type="http://schemas.openxmlformats.org/officeDocument/2006/relationships/hyperlink" Target="https://applitools.atlassian.net/wiki/pages/diffpagesbyversion.action?pageId=1540146&amp;selectedPageVersions=46&amp;selectedPageVersions=47" TargetMode="External"/><Relationship Id="rId19" Type="http://schemas.openxmlformats.org/officeDocument/2006/relationships/hyperlink" Target="https://applitools.atlassian.net/wiki/spaces/Java/pages/1540679/Appium+-+Python" TargetMode="External"/><Relationship Id="rId31" Type="http://schemas.openxmlformats.org/officeDocument/2006/relationships/hyperlink" Target="https://applitools.atlassian.net/wiki/spaces/Java/pages/1540579/Images+SDKs+-+Java" TargetMode="External"/><Relationship Id="rId44" Type="http://schemas.openxmlformats.org/officeDocument/2006/relationships/hyperlink" Target="https://applitools.com/resources/tutorial/selenium/dotnet" TargetMode="External"/><Relationship Id="rId4" Type="http://schemas.openxmlformats.org/officeDocument/2006/relationships/hyperlink" Target="https://applitools.atlassian.net/wiki/spaces/Java/pages/1540312/Selenium+-+Java" TargetMode="External"/><Relationship Id="rId9" Type="http://schemas.openxmlformats.org/officeDocument/2006/relationships/hyperlink" Target="https://applitools.atlassian.net/wiki/spaces/Java/pages/1540306/Selenium+-+Python" TargetMode="External"/><Relationship Id="rId14" Type="http://schemas.openxmlformats.org/officeDocument/2006/relationships/hyperlink" Target="https://applitools.atlassian.net/wiki/pages/diffpagesbyversion.action?pageId=1540331&amp;selectedPageVersions=46&amp;selectedPageVersions=47" TargetMode="External"/><Relationship Id="rId22" Type="http://schemas.openxmlformats.org/officeDocument/2006/relationships/hyperlink" Target="https://applitools.atlassian.net/wiki/spaces/Java/pages/1540300/Appium+-+JavaScript" TargetMode="External"/><Relationship Id="rId27" Type="http://schemas.openxmlformats.org/officeDocument/2006/relationships/hyperlink" Target="https://applitools.atlassian.net/wiki/pages/diffpagesbyversion.action?pageId=1540499&amp;selectedPageVersions=5&amp;selectedPageVersions=6" TargetMode="External"/><Relationship Id="rId30" Type="http://schemas.openxmlformats.org/officeDocument/2006/relationships/hyperlink" Target="https://applitools.atlassian.net/wiki/pages/diffpagesbyversion.action?pageId=1540579&amp;selectedPageVersions=12&amp;selectedPageVersions=13" TargetMode="External"/><Relationship Id="rId35" Type="http://schemas.openxmlformats.org/officeDocument/2006/relationships/hyperlink" Target="https://applitools.atlassian.net/wiki/spaces/Java/pages/1540555/Images+SDKs+-+JavaScript" TargetMode="External"/><Relationship Id="rId43" Type="http://schemas.openxmlformats.org/officeDocument/2006/relationships/hyperlink" Target="https://applitools.com/resources/tutorial/selenium/javascrip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74"/>
  <sheetViews>
    <sheetView topLeftCell="A22" workbookViewId="0">
      <selection activeCell="C26" sqref="C26"/>
    </sheetView>
  </sheetViews>
  <sheetFormatPr defaultRowHeight="15" x14ac:dyDescent="0.25"/>
  <cols>
    <col min="1" max="1" width="28.28515625" customWidth="1"/>
    <col min="2" max="2" width="37.5703125" customWidth="1"/>
    <col min="3" max="3" width="119.85546875" customWidth="1"/>
  </cols>
  <sheetData>
    <row r="1" spans="1:3" x14ac:dyDescent="0.25">
      <c r="A1" t="s">
        <v>637</v>
      </c>
      <c r="C1" t="s">
        <v>638</v>
      </c>
    </row>
    <row r="2" spans="1:3" x14ac:dyDescent="0.25">
      <c r="A2" s="5" t="s">
        <v>138</v>
      </c>
      <c r="B2" s="5"/>
    </row>
    <row r="3" spans="1:3" x14ac:dyDescent="0.25">
      <c r="A3" s="5" t="s">
        <v>139</v>
      </c>
      <c r="B3" s="5"/>
    </row>
    <row r="4" spans="1:3" x14ac:dyDescent="0.25">
      <c r="A4" s="5" t="s">
        <v>140</v>
      </c>
      <c r="B4" s="5"/>
    </row>
    <row r="5" spans="1:3" x14ac:dyDescent="0.25">
      <c r="A5" s="5" t="s">
        <v>143</v>
      </c>
      <c r="B5" s="5"/>
    </row>
    <row r="6" spans="1:3" x14ac:dyDescent="0.25">
      <c r="A6" s="5" t="s">
        <v>144</v>
      </c>
      <c r="B6" s="5"/>
    </row>
    <row r="7" spans="1:3" x14ac:dyDescent="0.25">
      <c r="A7" s="5" t="s">
        <v>146</v>
      </c>
      <c r="B7" s="5"/>
    </row>
    <row r="8" spans="1:3" x14ac:dyDescent="0.25">
      <c r="A8" s="5" t="s">
        <v>147</v>
      </c>
      <c r="B8" s="5"/>
    </row>
    <row r="9" spans="1:3" x14ac:dyDescent="0.25">
      <c r="A9" s="5" t="s">
        <v>152</v>
      </c>
      <c r="B9" s="5"/>
    </row>
    <row r="10" spans="1:3" x14ac:dyDescent="0.25">
      <c r="A10" s="5" t="s">
        <v>153</v>
      </c>
      <c r="B10" s="5"/>
    </row>
    <row r="11" spans="1:3" x14ac:dyDescent="0.25">
      <c r="A11" s="5" t="s">
        <v>162</v>
      </c>
      <c r="B11" s="5"/>
    </row>
    <row r="12" spans="1:3" x14ac:dyDescent="0.25">
      <c r="A12" s="7" t="s">
        <v>164</v>
      </c>
      <c r="B12" s="7"/>
    </row>
    <row r="13" spans="1:3" x14ac:dyDescent="0.25">
      <c r="A13" s="5" t="s">
        <v>171</v>
      </c>
      <c r="B13" s="5"/>
    </row>
    <row r="14" spans="1:3" x14ac:dyDescent="0.25">
      <c r="A14" s="5" t="s">
        <v>173</v>
      </c>
      <c r="B14" s="5"/>
    </row>
    <row r="15" spans="1:3" x14ac:dyDescent="0.25">
      <c r="A15" s="5" t="s">
        <v>194</v>
      </c>
      <c r="B15" s="5"/>
    </row>
    <row r="16" spans="1:3" x14ac:dyDescent="0.25">
      <c r="A16" s="5" t="s">
        <v>210</v>
      </c>
      <c r="B16" s="5"/>
      <c r="C16" t="s">
        <v>589</v>
      </c>
    </row>
    <row r="17" spans="1:3" x14ac:dyDescent="0.25">
      <c r="A17" s="5" t="s">
        <v>211</v>
      </c>
      <c r="B17" s="5"/>
      <c r="C17" t="s">
        <v>218</v>
      </c>
    </row>
    <row r="18" spans="1:3" x14ac:dyDescent="0.25">
      <c r="A18" s="5" t="s">
        <v>215</v>
      </c>
      <c r="B18" s="5"/>
      <c r="C18" t="s">
        <v>216</v>
      </c>
    </row>
    <row r="19" spans="1:3" x14ac:dyDescent="0.25">
      <c r="A19" s="5" t="s">
        <v>217</v>
      </c>
      <c r="B19" s="5"/>
    </row>
    <row r="20" spans="1:3" x14ac:dyDescent="0.25">
      <c r="B20" s="5"/>
    </row>
    <row r="21" spans="1:3" x14ac:dyDescent="0.25">
      <c r="A21" s="5"/>
      <c r="B21" s="5"/>
    </row>
    <row r="22" spans="1:3" x14ac:dyDescent="0.25">
      <c r="B22" s="5"/>
      <c r="C22" t="s">
        <v>554</v>
      </c>
    </row>
    <row r="23" spans="1:3" x14ac:dyDescent="0.25">
      <c r="A23" s="5" t="s">
        <v>587</v>
      </c>
      <c r="B23" s="5"/>
    </row>
    <row r="24" spans="1:3" x14ac:dyDescent="0.25">
      <c r="A24" s="5"/>
      <c r="B24" s="9" t="s">
        <v>601</v>
      </c>
      <c r="C24" t="s">
        <v>588</v>
      </c>
    </row>
    <row r="25" spans="1:3" x14ac:dyDescent="0.25">
      <c r="A25" s="5"/>
      <c r="B25" s="5" t="s">
        <v>602</v>
      </c>
      <c r="C25" t="s">
        <v>639</v>
      </c>
    </row>
    <row r="26" spans="1:3" x14ac:dyDescent="0.25">
      <c r="A26" s="5"/>
      <c r="B26" s="5" t="s">
        <v>603</v>
      </c>
      <c r="C26" t="s">
        <v>585</v>
      </c>
    </row>
    <row r="27" spans="1:3" x14ac:dyDescent="0.25">
      <c r="A27" s="5"/>
      <c r="B27" s="5" t="s">
        <v>604</v>
      </c>
      <c r="C27" t="s">
        <v>586</v>
      </c>
    </row>
    <row r="28" spans="1:3" x14ac:dyDescent="0.25">
      <c r="A28" s="5"/>
      <c r="B28" s="5" t="s">
        <v>605</v>
      </c>
      <c r="C28" t="s">
        <v>556</v>
      </c>
    </row>
    <row r="29" spans="1:3" x14ac:dyDescent="0.25">
      <c r="A29" s="5" t="s">
        <v>590</v>
      </c>
      <c r="B29" s="5"/>
    </row>
    <row r="30" spans="1:3" x14ac:dyDescent="0.25">
      <c r="A30" s="5"/>
      <c r="B30" s="5" t="s">
        <v>606</v>
      </c>
      <c r="C30" t="s">
        <v>591</v>
      </c>
    </row>
    <row r="31" spans="1:3" x14ac:dyDescent="0.25">
      <c r="A31" s="5"/>
      <c r="B31" s="5" t="s">
        <v>607</v>
      </c>
    </row>
    <row r="32" spans="1:3" x14ac:dyDescent="0.25">
      <c r="A32" s="5"/>
      <c r="B32" s="5" t="s">
        <v>608</v>
      </c>
      <c r="C32" t="s">
        <v>555</v>
      </c>
    </row>
    <row r="33" spans="1:3" x14ac:dyDescent="0.25">
      <c r="A33" s="5"/>
      <c r="B33" s="5" t="s">
        <v>622</v>
      </c>
      <c r="C33" t="s">
        <v>623</v>
      </c>
    </row>
    <row r="34" spans="1:3" x14ac:dyDescent="0.25">
      <c r="A34" s="5" t="s">
        <v>592</v>
      </c>
      <c r="B34" s="5"/>
    </row>
    <row r="35" spans="1:3" x14ac:dyDescent="0.25">
      <c r="A35" s="5"/>
      <c r="B35" s="5" t="s">
        <v>609</v>
      </c>
    </row>
    <row r="36" spans="1:3" x14ac:dyDescent="0.25">
      <c r="A36" s="5"/>
      <c r="B36" s="5" t="s">
        <v>610</v>
      </c>
    </row>
    <row r="37" spans="1:3" x14ac:dyDescent="0.25">
      <c r="A37" s="5"/>
      <c r="B37" s="5" t="s">
        <v>611</v>
      </c>
    </row>
    <row r="38" spans="1:3" x14ac:dyDescent="0.25">
      <c r="A38" s="5"/>
      <c r="B38" s="5" t="s">
        <v>612</v>
      </c>
    </row>
    <row r="39" spans="1:3" x14ac:dyDescent="0.25">
      <c r="A39" s="5"/>
      <c r="B39" s="5" t="s">
        <v>613</v>
      </c>
    </row>
    <row r="40" spans="1:3" x14ac:dyDescent="0.25">
      <c r="A40" s="5"/>
      <c r="B40" s="5" t="s">
        <v>614</v>
      </c>
    </row>
    <row r="41" spans="1:3" x14ac:dyDescent="0.25">
      <c r="A41" s="5" t="s">
        <v>593</v>
      </c>
      <c r="B41" s="5"/>
    </row>
    <row r="42" spans="1:3" x14ac:dyDescent="0.25">
      <c r="A42" s="5"/>
      <c r="B42" s="5" t="s">
        <v>621</v>
      </c>
      <c r="C42" t="s">
        <v>594</v>
      </c>
    </row>
    <row r="43" spans="1:3" x14ac:dyDescent="0.25">
      <c r="A43" s="5"/>
      <c r="B43" s="5" t="s">
        <v>615</v>
      </c>
    </row>
    <row r="44" spans="1:3" x14ac:dyDescent="0.25">
      <c r="A44" s="5"/>
      <c r="B44" s="5" t="s">
        <v>616</v>
      </c>
    </row>
    <row r="45" spans="1:3" x14ac:dyDescent="0.25">
      <c r="A45" s="5"/>
      <c r="B45" s="5" t="s">
        <v>617</v>
      </c>
    </row>
    <row r="46" spans="1:3" x14ac:dyDescent="0.25">
      <c r="A46" s="5" t="s">
        <v>597</v>
      </c>
      <c r="B46" s="5"/>
    </row>
    <row r="47" spans="1:3" x14ac:dyDescent="0.25">
      <c r="A47" s="5"/>
      <c r="B47" s="5" t="s">
        <v>618</v>
      </c>
      <c r="C47" t="s">
        <v>633</v>
      </c>
    </row>
    <row r="48" spans="1:3" x14ac:dyDescent="0.25">
      <c r="A48" s="5"/>
      <c r="B48" s="5"/>
    </row>
    <row r="49" spans="1:2" x14ac:dyDescent="0.25">
      <c r="A49" s="5"/>
      <c r="B49" s="5"/>
    </row>
    <row r="50" spans="1:2" x14ac:dyDescent="0.25">
      <c r="A50" s="5"/>
      <c r="B50" s="5"/>
    </row>
    <row r="174" spans="6:6" x14ac:dyDescent="0.25">
      <c r="F174" t="e">
        <f>Concepts!A18posiito</f>
        <v>#NAME?</v>
      </c>
    </row>
  </sheetData>
  <conditionalFormatting sqref="B24">
    <cfRule type="cellIs" dxfId="9" priority="1" operator="equal">
      <formula>"tbd"</formula>
    </cfRule>
    <cfRule type="cellIs" priority="2" operator="equal">
      <formula>"tbd"</formula>
    </cfRule>
  </conditionalFormatting>
  <dataValidations count="1">
    <dataValidation type="list" allowBlank="1" showInputMessage="1" showErrorMessage="1" sqref="B24" xr:uid="{00000000-0002-0000-0000-000000000000}">
      <formula1>names_groups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
  <sheetViews>
    <sheetView workbookViewId="0">
      <selection activeCell="A6" sqref="A6"/>
    </sheetView>
  </sheetViews>
  <sheetFormatPr defaultRowHeight="15" x14ac:dyDescent="0.25"/>
  <cols>
    <col min="1" max="1" width="12.140625" customWidth="1"/>
  </cols>
  <sheetData>
    <row r="1" spans="1:1" x14ac:dyDescent="0.25">
      <c r="A1" s="53" t="s">
        <v>788</v>
      </c>
    </row>
    <row r="2" spans="1:1" x14ac:dyDescent="0.25">
      <c r="A2" s="53" t="s">
        <v>789</v>
      </c>
    </row>
    <row r="3" spans="1:1" x14ac:dyDescent="0.25">
      <c r="A3" s="53" t="s">
        <v>790</v>
      </c>
    </row>
    <row r="4" spans="1:1" x14ac:dyDescent="0.25">
      <c r="A4" s="53" t="s">
        <v>683</v>
      </c>
    </row>
    <row r="5" spans="1:1" x14ac:dyDescent="0.25">
      <c r="A5" s="53" t="s">
        <v>150</v>
      </c>
    </row>
    <row r="6" spans="1:1" x14ac:dyDescent="0.25">
      <c r="A6" s="53"/>
    </row>
    <row r="7" spans="1:1" x14ac:dyDescent="0.25">
      <c r="A7" s="53"/>
    </row>
    <row r="8" spans="1:1" x14ac:dyDescent="0.25">
      <c r="A8" s="53"/>
    </row>
    <row r="9" spans="1:1" x14ac:dyDescent="0.25">
      <c r="A9" s="53"/>
    </row>
    <row r="10" spans="1:1" x14ac:dyDescent="0.25">
      <c r="A10" s="5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36"/>
  <sheetViews>
    <sheetView workbookViewId="0">
      <selection activeCell="E26" sqref="E26"/>
    </sheetView>
  </sheetViews>
  <sheetFormatPr defaultRowHeight="15" x14ac:dyDescent="0.25"/>
  <cols>
    <col min="1" max="1" width="40.7109375" customWidth="1"/>
    <col min="2" max="2" width="11.7109375" customWidth="1"/>
    <col min="3" max="3" width="36.7109375" bestFit="1" customWidth="1"/>
    <col min="4" max="4" width="18.7109375" customWidth="1"/>
  </cols>
  <sheetData>
    <row r="1" spans="1:4" x14ac:dyDescent="0.25">
      <c r="C1" t="s">
        <v>791</v>
      </c>
      <c r="D1" t="s">
        <v>792</v>
      </c>
    </row>
    <row r="4" spans="1:4" x14ac:dyDescent="0.25">
      <c r="A4" s="43" t="s">
        <v>599</v>
      </c>
      <c r="B4" t="s">
        <v>619</v>
      </c>
    </row>
    <row r="5" spans="1:4" x14ac:dyDescent="0.25">
      <c r="A5" s="52" t="s">
        <v>174</v>
      </c>
      <c r="B5" s="44">
        <v>4</v>
      </c>
      <c r="D5" t="s">
        <v>683</v>
      </c>
    </row>
    <row r="6" spans="1:4" x14ac:dyDescent="0.25">
      <c r="A6" s="52" t="s">
        <v>221</v>
      </c>
      <c r="B6" s="44">
        <v>22</v>
      </c>
    </row>
    <row r="7" spans="1:4" x14ac:dyDescent="0.25">
      <c r="A7" s="52" t="s">
        <v>150</v>
      </c>
      <c r="B7" s="44">
        <v>2</v>
      </c>
    </row>
    <row r="8" spans="1:4" x14ac:dyDescent="0.25">
      <c r="A8" s="52" t="s">
        <v>601</v>
      </c>
      <c r="B8" s="44">
        <v>13</v>
      </c>
      <c r="C8" t="s">
        <v>793</v>
      </c>
      <c r="D8">
        <v>1</v>
      </c>
    </row>
    <row r="9" spans="1:4" x14ac:dyDescent="0.25">
      <c r="A9" s="52" t="s">
        <v>605</v>
      </c>
      <c r="B9" s="44">
        <v>2</v>
      </c>
      <c r="C9" t="s">
        <v>796</v>
      </c>
      <c r="D9">
        <v>1</v>
      </c>
    </row>
    <row r="10" spans="1:4" x14ac:dyDescent="0.25">
      <c r="A10" s="52" t="s">
        <v>602</v>
      </c>
      <c r="B10" s="44">
        <v>8</v>
      </c>
      <c r="C10" t="s">
        <v>796</v>
      </c>
      <c r="D10">
        <v>1</v>
      </c>
    </row>
    <row r="11" spans="1:4" x14ac:dyDescent="0.25">
      <c r="A11" s="52" t="s">
        <v>608</v>
      </c>
      <c r="B11" s="44">
        <v>59</v>
      </c>
      <c r="C11" t="s">
        <v>796</v>
      </c>
      <c r="D11">
        <v>1</v>
      </c>
    </row>
    <row r="12" spans="1:4" x14ac:dyDescent="0.25">
      <c r="A12" s="52" t="s">
        <v>607</v>
      </c>
      <c r="B12" s="44">
        <v>5</v>
      </c>
      <c r="C12" t="s">
        <v>797</v>
      </c>
      <c r="D12">
        <v>1</v>
      </c>
    </row>
    <row r="13" spans="1:4" x14ac:dyDescent="0.25">
      <c r="A13" s="52" t="s">
        <v>611</v>
      </c>
      <c r="B13" s="44">
        <v>1</v>
      </c>
      <c r="D13">
        <v>1</v>
      </c>
    </row>
    <row r="14" spans="1:4" x14ac:dyDescent="0.25">
      <c r="A14" s="52" t="s">
        <v>612</v>
      </c>
      <c r="B14" s="44">
        <v>3</v>
      </c>
      <c r="D14">
        <v>1</v>
      </c>
    </row>
    <row r="15" spans="1:4" x14ac:dyDescent="0.25">
      <c r="A15" s="52" t="s">
        <v>610</v>
      </c>
      <c r="B15" s="44">
        <v>4</v>
      </c>
      <c r="C15" t="s">
        <v>794</v>
      </c>
      <c r="D15">
        <v>1</v>
      </c>
    </row>
    <row r="16" spans="1:4" x14ac:dyDescent="0.25">
      <c r="A16" s="52" t="s">
        <v>609</v>
      </c>
      <c r="B16" s="44">
        <v>13</v>
      </c>
      <c r="D16">
        <v>1</v>
      </c>
    </row>
    <row r="17" spans="1:4" x14ac:dyDescent="0.25">
      <c r="A17" s="52" t="s">
        <v>616</v>
      </c>
      <c r="B17" s="44">
        <v>3</v>
      </c>
      <c r="D17">
        <v>2</v>
      </c>
    </row>
    <row r="18" spans="1:4" x14ac:dyDescent="0.25">
      <c r="A18" s="52" t="s">
        <v>617</v>
      </c>
      <c r="B18" s="44">
        <v>5</v>
      </c>
      <c r="D18">
        <v>2</v>
      </c>
    </row>
    <row r="19" spans="1:4" x14ac:dyDescent="0.25">
      <c r="A19" s="52" t="s">
        <v>615</v>
      </c>
      <c r="B19" s="44">
        <v>4</v>
      </c>
      <c r="D19">
        <v>1</v>
      </c>
    </row>
    <row r="20" spans="1:4" x14ac:dyDescent="0.25">
      <c r="A20" s="52" t="s">
        <v>613</v>
      </c>
      <c r="B20" s="44">
        <v>5</v>
      </c>
      <c r="D20">
        <v>3</v>
      </c>
    </row>
    <row r="21" spans="1:4" x14ac:dyDescent="0.25">
      <c r="A21" s="52" t="s">
        <v>614</v>
      </c>
      <c r="B21" s="44">
        <v>5</v>
      </c>
      <c r="C21" t="s">
        <v>795</v>
      </c>
      <c r="D21">
        <v>1</v>
      </c>
    </row>
    <row r="22" spans="1:4" x14ac:dyDescent="0.25">
      <c r="A22" s="52" t="s">
        <v>618</v>
      </c>
      <c r="B22" s="44">
        <v>8</v>
      </c>
      <c r="D22">
        <v>3</v>
      </c>
    </row>
    <row r="23" spans="1:4" x14ac:dyDescent="0.25">
      <c r="A23" s="52" t="s">
        <v>603</v>
      </c>
      <c r="B23" s="44">
        <v>1</v>
      </c>
      <c r="D23">
        <v>1</v>
      </c>
    </row>
    <row r="24" spans="1:4" x14ac:dyDescent="0.25">
      <c r="A24" s="52" t="s">
        <v>622</v>
      </c>
      <c r="B24" s="44">
        <v>7</v>
      </c>
      <c r="C24" t="s">
        <v>798</v>
      </c>
      <c r="D24">
        <v>1</v>
      </c>
    </row>
    <row r="25" spans="1:4" x14ac:dyDescent="0.25">
      <c r="A25" s="52" t="s">
        <v>621</v>
      </c>
      <c r="B25" s="44">
        <v>17</v>
      </c>
      <c r="C25" t="s">
        <v>796</v>
      </c>
      <c r="D25">
        <v>1</v>
      </c>
    </row>
    <row r="26" spans="1:4" x14ac:dyDescent="0.25">
      <c r="A26" s="52" t="s">
        <v>635</v>
      </c>
      <c r="B26" s="44">
        <v>1</v>
      </c>
      <c r="C26" t="s">
        <v>799</v>
      </c>
      <c r="D26">
        <v>2</v>
      </c>
    </row>
    <row r="36" spans="3:3" x14ac:dyDescent="0.25">
      <c r="C36" t="s">
        <v>636</v>
      </c>
    </row>
  </sheetData>
  <dataValidations count="1">
    <dataValidation type="list" allowBlank="1" showInputMessage="1" showErrorMessage="1" sqref="D4:D26 D28:D146" xr:uid="{00000000-0002-0000-0200-000000000000}">
      <formula1>priorities_table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63213-9B01-4DC2-8576-441D4553A4AE}">
  <dimension ref="A1:D23"/>
  <sheetViews>
    <sheetView tabSelected="1" workbookViewId="0">
      <selection sqref="A1:E23"/>
    </sheetView>
  </sheetViews>
  <sheetFormatPr defaultRowHeight="15" x14ac:dyDescent="0.25"/>
  <cols>
    <col min="1" max="1" width="40.7109375" bestFit="1" customWidth="1"/>
    <col min="2" max="2" width="12.140625" bestFit="1" customWidth="1"/>
    <col min="3" max="3" width="83.7109375" bestFit="1" customWidth="1"/>
    <col min="4" max="4" width="5.85546875" bestFit="1" customWidth="1"/>
  </cols>
  <sheetData>
    <row r="1" spans="1:4" x14ac:dyDescent="0.25">
      <c r="A1" t="s">
        <v>599</v>
      </c>
      <c r="B1" t="s">
        <v>619</v>
      </c>
    </row>
    <row r="2" spans="1:4" x14ac:dyDescent="0.25">
      <c r="A2" t="s">
        <v>174</v>
      </c>
      <c r="B2">
        <v>4</v>
      </c>
      <c r="D2" t="s">
        <v>683</v>
      </c>
    </row>
    <row r="3" spans="1:4" x14ac:dyDescent="0.25">
      <c r="A3" t="s">
        <v>221</v>
      </c>
      <c r="B3">
        <v>22</v>
      </c>
    </row>
    <row r="4" spans="1:4" x14ac:dyDescent="0.25">
      <c r="A4" t="s">
        <v>150</v>
      </c>
      <c r="B4">
        <v>2</v>
      </c>
    </row>
    <row r="5" spans="1:4" x14ac:dyDescent="0.25">
      <c r="A5" t="s">
        <v>601</v>
      </c>
      <c r="B5">
        <v>13</v>
      </c>
      <c r="C5" t="s">
        <v>800</v>
      </c>
      <c r="D5">
        <v>1</v>
      </c>
    </row>
    <row r="6" spans="1:4" x14ac:dyDescent="0.25">
      <c r="A6" t="s">
        <v>605</v>
      </c>
      <c r="B6">
        <v>2</v>
      </c>
      <c r="C6" t="s">
        <v>796</v>
      </c>
      <c r="D6">
        <v>1</v>
      </c>
    </row>
    <row r="7" spans="1:4" x14ac:dyDescent="0.25">
      <c r="A7" t="s">
        <v>602</v>
      </c>
      <c r="B7">
        <v>8</v>
      </c>
      <c r="C7" t="s">
        <v>796</v>
      </c>
      <c r="D7">
        <v>1</v>
      </c>
    </row>
    <row r="8" spans="1:4" x14ac:dyDescent="0.25">
      <c r="A8" t="s">
        <v>608</v>
      </c>
      <c r="B8">
        <v>59</v>
      </c>
      <c r="C8" t="s">
        <v>796</v>
      </c>
      <c r="D8">
        <v>1</v>
      </c>
    </row>
    <row r="9" spans="1:4" x14ac:dyDescent="0.25">
      <c r="A9" t="s">
        <v>607</v>
      </c>
      <c r="B9">
        <v>5</v>
      </c>
      <c r="C9" t="s">
        <v>797</v>
      </c>
      <c r="D9">
        <v>1</v>
      </c>
    </row>
    <row r="10" spans="1:4" x14ac:dyDescent="0.25">
      <c r="A10" t="s">
        <v>611</v>
      </c>
      <c r="B10">
        <v>1</v>
      </c>
      <c r="D10">
        <v>1</v>
      </c>
    </row>
    <row r="11" spans="1:4" x14ac:dyDescent="0.25">
      <c r="A11" t="s">
        <v>612</v>
      </c>
      <c r="B11">
        <v>3</v>
      </c>
      <c r="D11">
        <v>1</v>
      </c>
    </row>
    <row r="12" spans="1:4" x14ac:dyDescent="0.25">
      <c r="A12" t="s">
        <v>610</v>
      </c>
      <c r="B12">
        <v>4</v>
      </c>
      <c r="C12" t="s">
        <v>794</v>
      </c>
      <c r="D12">
        <v>1</v>
      </c>
    </row>
    <row r="13" spans="1:4" x14ac:dyDescent="0.25">
      <c r="A13" t="s">
        <v>609</v>
      </c>
      <c r="B13">
        <v>13</v>
      </c>
      <c r="D13">
        <v>1</v>
      </c>
    </row>
    <row r="14" spans="1:4" x14ac:dyDescent="0.25">
      <c r="A14" t="s">
        <v>616</v>
      </c>
      <c r="B14">
        <v>3</v>
      </c>
      <c r="D14">
        <v>2</v>
      </c>
    </row>
    <row r="15" spans="1:4" x14ac:dyDescent="0.25">
      <c r="A15" t="s">
        <v>617</v>
      </c>
      <c r="B15">
        <v>5</v>
      </c>
      <c r="D15">
        <v>2</v>
      </c>
    </row>
    <row r="16" spans="1:4" x14ac:dyDescent="0.25">
      <c r="A16" t="s">
        <v>615</v>
      </c>
      <c r="B16">
        <v>4</v>
      </c>
      <c r="D16">
        <v>1</v>
      </c>
    </row>
    <row r="17" spans="1:4" x14ac:dyDescent="0.25">
      <c r="A17" t="s">
        <v>613</v>
      </c>
      <c r="B17">
        <v>5</v>
      </c>
      <c r="D17">
        <v>3</v>
      </c>
    </row>
    <row r="18" spans="1:4" x14ac:dyDescent="0.25">
      <c r="A18" t="s">
        <v>614</v>
      </c>
      <c r="B18">
        <v>5</v>
      </c>
      <c r="C18" t="s">
        <v>795</v>
      </c>
      <c r="D18">
        <v>1</v>
      </c>
    </row>
    <row r="19" spans="1:4" x14ac:dyDescent="0.25">
      <c r="A19" t="s">
        <v>618</v>
      </c>
      <c r="B19">
        <v>8</v>
      </c>
      <c r="D19">
        <v>3</v>
      </c>
    </row>
    <row r="20" spans="1:4" x14ac:dyDescent="0.25">
      <c r="A20" t="s">
        <v>603</v>
      </c>
      <c r="B20">
        <v>1</v>
      </c>
      <c r="D20">
        <v>1</v>
      </c>
    </row>
    <row r="21" spans="1:4" x14ac:dyDescent="0.25">
      <c r="A21" t="s">
        <v>622</v>
      </c>
      <c r="B21">
        <v>7</v>
      </c>
      <c r="C21" t="s">
        <v>798</v>
      </c>
      <c r="D21">
        <v>1</v>
      </c>
    </row>
    <row r="22" spans="1:4" x14ac:dyDescent="0.25">
      <c r="A22" t="s">
        <v>621</v>
      </c>
      <c r="B22">
        <v>17</v>
      </c>
      <c r="C22" t="s">
        <v>796</v>
      </c>
      <c r="D22">
        <v>1</v>
      </c>
    </row>
    <row r="23" spans="1:4" x14ac:dyDescent="0.25">
      <c r="A23" t="s">
        <v>635</v>
      </c>
      <c r="B23">
        <v>1</v>
      </c>
      <c r="C23" t="s">
        <v>801</v>
      </c>
      <c r="D23">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198"/>
  <sheetViews>
    <sheetView zoomScale="115" zoomScaleNormal="115" workbookViewId="0">
      <pane xSplit="7" ySplit="1" topLeftCell="H96" activePane="bottomRight" state="frozen"/>
      <selection pane="topRight" activeCell="C1" sqref="C1"/>
      <selection pane="bottomLeft" activeCell="A2" sqref="A2"/>
      <selection pane="bottomRight" activeCell="D201" sqref="D201"/>
    </sheetView>
  </sheetViews>
  <sheetFormatPr defaultColWidth="9.140625" defaultRowHeight="15" x14ac:dyDescent="0.25"/>
  <cols>
    <col min="1" max="1" width="12.28515625" style="22" customWidth="1"/>
    <col min="2" max="2" width="8.7109375" style="23" customWidth="1"/>
    <col min="3" max="4" width="20" style="23" customWidth="1"/>
    <col min="5" max="5" width="18.28515625" style="22" customWidth="1"/>
    <col min="6" max="6" width="11.7109375" style="22" customWidth="1"/>
    <col min="7" max="7" width="20.5703125" style="35" customWidth="1"/>
    <col min="8" max="8" width="21.7109375" style="35" customWidth="1"/>
    <col min="9" max="9" width="64.7109375" style="25" customWidth="1"/>
    <col min="10" max="10" width="17.42578125" style="22" customWidth="1"/>
    <col min="11" max="11" width="36" style="22" customWidth="1"/>
    <col min="12" max="12" width="85.140625" style="26" customWidth="1"/>
    <col min="13" max="16384" width="9.140625" style="26"/>
  </cols>
  <sheetData>
    <row r="1" spans="1:12" ht="30" x14ac:dyDescent="0.25">
      <c r="A1" s="22" t="s">
        <v>127</v>
      </c>
      <c r="B1" s="23" t="s">
        <v>473</v>
      </c>
      <c r="C1" s="23" t="s">
        <v>584</v>
      </c>
      <c r="D1" s="23" t="s">
        <v>600</v>
      </c>
      <c r="E1" s="22" t="s">
        <v>460</v>
      </c>
      <c r="F1" s="22" t="s">
        <v>461</v>
      </c>
      <c r="G1" s="24" t="s">
        <v>462</v>
      </c>
      <c r="H1" s="24" t="s">
        <v>463</v>
      </c>
      <c r="I1" s="25" t="s">
        <v>128</v>
      </c>
      <c r="J1" s="22" t="s">
        <v>464</v>
      </c>
      <c r="K1" s="22" t="s">
        <v>126</v>
      </c>
      <c r="L1" s="22" t="s">
        <v>125</v>
      </c>
    </row>
    <row r="2" spans="1:12" ht="45" x14ac:dyDescent="0.25">
      <c r="A2" s="22" t="str">
        <f>groups!$A$1</f>
        <v>base</v>
      </c>
      <c r="B2" s="23">
        <v>1</v>
      </c>
      <c r="C2" s="23" t="str">
        <f>Concepts!$B$24</f>
        <v>1_1 test Startup and wrapup</v>
      </c>
      <c r="D2" s="23" t="str">
        <f>CONCATENATE(E2,":",G2)</f>
        <v>eyes: Eyes()</v>
      </c>
      <c r="E2" s="22" t="s">
        <v>209</v>
      </c>
      <c r="F2" s="22" t="s">
        <v>465</v>
      </c>
      <c r="G2" s="27" t="s">
        <v>427</v>
      </c>
      <c r="H2" s="27" t="s">
        <v>272</v>
      </c>
      <c r="I2" s="22" t="s">
        <v>186</v>
      </c>
      <c r="J2" s="22" t="s">
        <v>189</v>
      </c>
      <c r="K2" s="22" t="str">
        <f>Concepts!$A$23</f>
        <v>Basic Test Scenario</v>
      </c>
    </row>
    <row r="3" spans="1:12" ht="45" x14ac:dyDescent="0.25">
      <c r="A3" s="22" t="str">
        <f>groups!$A$1</f>
        <v>base</v>
      </c>
      <c r="B3" s="23">
        <v>1</v>
      </c>
      <c r="C3" s="23" t="str">
        <f>Concepts!$B$24</f>
        <v>1_1 test Startup and wrapup</v>
      </c>
      <c r="D3" s="23" t="str">
        <f t="shared" ref="D3:D66" si="0">CONCATENATE(E3,":",G3)</f>
        <v>eyes: Eyes()</v>
      </c>
      <c r="E3" s="22" t="s">
        <v>209</v>
      </c>
      <c r="F3" s="22" t="s">
        <v>465</v>
      </c>
      <c r="G3" s="27" t="s">
        <v>427</v>
      </c>
      <c r="H3" s="27"/>
      <c r="I3" s="22" t="s">
        <v>187</v>
      </c>
      <c r="J3" s="22" t="s">
        <v>190</v>
      </c>
    </row>
    <row r="4" spans="1:12" ht="51" x14ac:dyDescent="0.25">
      <c r="A4" s="22" t="s">
        <v>129</v>
      </c>
      <c r="B4" s="23">
        <v>2</v>
      </c>
      <c r="C4" s="23" t="str">
        <f>Concepts!$B$24</f>
        <v>1_1 test Startup and wrapup</v>
      </c>
      <c r="D4" s="23" t="str">
        <f t="shared" si="0"/>
        <v>eyesBase: setApiKey()</v>
      </c>
      <c r="E4" s="22" t="s">
        <v>208</v>
      </c>
      <c r="F4" s="22" t="s">
        <v>243</v>
      </c>
      <c r="G4" s="24" t="s">
        <v>269</v>
      </c>
      <c r="H4" s="24" t="s">
        <v>270</v>
      </c>
      <c r="I4" s="28" t="s">
        <v>202</v>
      </c>
      <c r="K4" s="22" t="str">
        <f>CONCATENATE(Concepts!$A$16)</f>
        <v>API Key</v>
      </c>
    </row>
    <row r="5" spans="1:12" ht="30" x14ac:dyDescent="0.25">
      <c r="A5" s="22" t="s">
        <v>129</v>
      </c>
      <c r="B5" s="23">
        <v>2.1</v>
      </c>
      <c r="C5" s="23" t="str">
        <f>Concepts!$B$24</f>
        <v>1_1 test Startup and wrapup</v>
      </c>
      <c r="D5" s="23" t="str">
        <f t="shared" si="0"/>
        <v>eyesBase: getApiKey()</v>
      </c>
      <c r="E5" s="22" t="s">
        <v>208</v>
      </c>
      <c r="F5" s="22" t="s">
        <v>244</v>
      </c>
      <c r="G5" s="29" t="s">
        <v>255</v>
      </c>
      <c r="H5" s="29" t="s">
        <v>268</v>
      </c>
      <c r="I5" s="28" t="s">
        <v>131</v>
      </c>
      <c r="K5" s="22" t="str">
        <f>CONCATENATE(Concepts!$A$16)</f>
        <v>API Key</v>
      </c>
    </row>
    <row r="6" spans="1:12" ht="60" x14ac:dyDescent="0.25">
      <c r="A6" s="22" t="s">
        <v>129</v>
      </c>
      <c r="B6" s="23">
        <v>3</v>
      </c>
      <c r="C6" s="23" t="str">
        <f>Concepts!$B$28</f>
        <v>1_5 basic test configuration</v>
      </c>
      <c r="D6" s="23" t="str">
        <f t="shared" si="0"/>
        <v>eyes:setForceFullPageScreenshot()</v>
      </c>
      <c r="E6" s="22" t="s">
        <v>209</v>
      </c>
      <c r="F6" s="22" t="s">
        <v>243</v>
      </c>
      <c r="G6" s="27" t="s">
        <v>430</v>
      </c>
      <c r="H6" s="27" t="s">
        <v>333</v>
      </c>
      <c r="I6" s="22" t="s">
        <v>188</v>
      </c>
      <c r="J6" s="22" t="s">
        <v>191</v>
      </c>
    </row>
    <row r="7" spans="1:12" ht="30" x14ac:dyDescent="0.25">
      <c r="A7" s="22" t="s">
        <v>129</v>
      </c>
      <c r="B7" s="23">
        <v>3.1</v>
      </c>
      <c r="C7" s="23" t="str">
        <f>Concepts!$B$28</f>
        <v>1_5 basic test configuration</v>
      </c>
      <c r="D7" s="23" t="str">
        <f t="shared" si="0"/>
        <v>eyes:getForceFullPageScreenshot()</v>
      </c>
      <c r="E7" s="22" t="s">
        <v>209</v>
      </c>
      <c r="F7" s="22" t="s">
        <v>245</v>
      </c>
      <c r="G7" s="27" t="s">
        <v>431</v>
      </c>
      <c r="H7" s="27" t="s">
        <v>268</v>
      </c>
      <c r="I7" s="22" t="s">
        <v>3</v>
      </c>
    </row>
    <row r="8" spans="1:12" ht="63.75" x14ac:dyDescent="0.25">
      <c r="A8" s="22" t="str">
        <f>groups!$A$1</f>
        <v>base</v>
      </c>
      <c r="B8" s="23">
        <v>4</v>
      </c>
      <c r="C8" s="23" t="str">
        <f>Concepts!$B$24</f>
        <v>1_1 test Startup and wrapup</v>
      </c>
      <c r="D8" s="23" t="str">
        <f t="shared" si="0"/>
        <v>eyes:open()</v>
      </c>
      <c r="E8" s="22" t="s">
        <v>209</v>
      </c>
      <c r="F8" s="22" t="s">
        <v>156</v>
      </c>
      <c r="G8" s="27" t="s">
        <v>442</v>
      </c>
      <c r="H8" s="27" t="s">
        <v>338</v>
      </c>
      <c r="I8" s="27" t="s">
        <v>557</v>
      </c>
    </row>
    <row r="9" spans="1:12" ht="45" x14ac:dyDescent="0.25">
      <c r="A9" s="22" t="str">
        <f>groups!$A$1</f>
        <v>base</v>
      </c>
      <c r="B9" s="23">
        <v>4</v>
      </c>
      <c r="C9" s="23" t="str">
        <f>Concepts!$B$24</f>
        <v>1_1 test Startup and wrapup</v>
      </c>
      <c r="D9" s="23" t="str">
        <f t="shared" si="0"/>
        <v>eyes:open()</v>
      </c>
      <c r="E9" s="22" t="s">
        <v>209</v>
      </c>
      <c r="F9" s="22" t="s">
        <v>156</v>
      </c>
      <c r="G9" s="27" t="s">
        <v>442</v>
      </c>
      <c r="H9" s="27" t="s">
        <v>339</v>
      </c>
      <c r="I9" s="27" t="s">
        <v>558</v>
      </c>
    </row>
    <row r="10" spans="1:12" ht="120" x14ac:dyDescent="0.25">
      <c r="A10" s="22" t="s">
        <v>129</v>
      </c>
      <c r="B10" s="23">
        <v>4.0999999999999996</v>
      </c>
      <c r="C10" s="23" t="str">
        <f>Concepts!$B$24</f>
        <v>1_1 test Startup and wrapup</v>
      </c>
      <c r="D10" s="23" t="str">
        <f t="shared" si="0"/>
        <v xml:space="preserve">eyesBase: getIsOpen() </v>
      </c>
      <c r="E10" s="22" t="s">
        <v>208</v>
      </c>
      <c r="F10" s="22" t="s">
        <v>245</v>
      </c>
      <c r="G10" s="24" t="s">
        <v>559</v>
      </c>
      <c r="H10" s="24" t="s">
        <v>268</v>
      </c>
      <c r="I10" s="30" t="s">
        <v>98</v>
      </c>
      <c r="J10" s="22" t="s">
        <v>165</v>
      </c>
    </row>
    <row r="11" spans="1:12" ht="30" x14ac:dyDescent="0.25">
      <c r="A11" s="22" t="str">
        <f>groups!$A$1</f>
        <v>base</v>
      </c>
      <c r="B11" s="23">
        <v>5</v>
      </c>
      <c r="C11" s="23" t="str">
        <f>Concepts!$B$25</f>
        <v>1_2 Ways to initiate Matches</v>
      </c>
      <c r="D11" s="23" t="str">
        <f t="shared" si="0"/>
        <v>eyes:checkWindow()</v>
      </c>
      <c r="E11" s="22" t="s">
        <v>209</v>
      </c>
      <c r="F11" s="22" t="s">
        <v>243</v>
      </c>
      <c r="G11" s="27" t="s">
        <v>443</v>
      </c>
      <c r="H11" s="27" t="s">
        <v>268</v>
      </c>
      <c r="I11" s="22" t="s">
        <v>8</v>
      </c>
      <c r="J11" s="31"/>
      <c r="K11" s="22" t="str">
        <f>Concepts!$B$25</f>
        <v>1_2 Ways to initiate Matches</v>
      </c>
    </row>
    <row r="12" spans="1:12" ht="45" x14ac:dyDescent="0.25">
      <c r="A12" s="22" t="str">
        <f>groups!$A$1</f>
        <v>base</v>
      </c>
      <c r="B12" s="23">
        <v>5</v>
      </c>
      <c r="C12" s="23" t="str">
        <f>Concepts!$B$25</f>
        <v>1_2 Ways to initiate Matches</v>
      </c>
      <c r="D12" s="23" t="str">
        <f t="shared" si="0"/>
        <v>eyes:checkWindow()</v>
      </c>
      <c r="E12" s="22" t="s">
        <v>209</v>
      </c>
      <c r="F12" s="22" t="s">
        <v>243</v>
      </c>
      <c r="G12" s="27" t="s">
        <v>443</v>
      </c>
      <c r="H12" s="27" t="s">
        <v>340</v>
      </c>
      <c r="I12" s="27" t="s">
        <v>560</v>
      </c>
      <c r="K12" s="22" t="str">
        <f>Concepts!$B$25</f>
        <v>1_2 Ways to initiate Matches</v>
      </c>
    </row>
    <row r="13" spans="1:12" ht="102" x14ac:dyDescent="0.25">
      <c r="A13" s="22" t="str">
        <f>groups!$A$1</f>
        <v>base</v>
      </c>
      <c r="B13" s="23">
        <v>5</v>
      </c>
      <c r="C13" s="23" t="str">
        <f>Concepts!$B$25</f>
        <v>1_2 Ways to initiate Matches</v>
      </c>
      <c r="D13" s="23" t="str">
        <f t="shared" si="0"/>
        <v>eyes:checkWindow()</v>
      </c>
      <c r="E13" s="22" t="s">
        <v>209</v>
      </c>
      <c r="F13" s="22" t="s">
        <v>243</v>
      </c>
      <c r="G13" s="27" t="s">
        <v>443</v>
      </c>
      <c r="H13" s="27" t="s">
        <v>341</v>
      </c>
      <c r="I13" s="27" t="s">
        <v>9</v>
      </c>
      <c r="K13" s="22" t="str">
        <f>Concepts!$B$25</f>
        <v>1_2 Ways to initiate Matches</v>
      </c>
    </row>
    <row r="14" spans="1:12" ht="38.25" x14ac:dyDescent="0.25">
      <c r="A14" s="22" t="str">
        <f>groups!$A$1</f>
        <v>base</v>
      </c>
      <c r="B14" s="23">
        <v>6</v>
      </c>
      <c r="C14" s="23" t="str">
        <f>Concepts!$B$24</f>
        <v>1_1 test Startup and wrapup</v>
      </c>
      <c r="D14" s="23" t="str">
        <f t="shared" si="0"/>
        <v xml:space="preserve">eyesBase: close() </v>
      </c>
      <c r="E14" s="22" t="s">
        <v>208</v>
      </c>
      <c r="F14" s="22" t="s">
        <v>171</v>
      </c>
      <c r="G14" s="29" t="s">
        <v>265</v>
      </c>
      <c r="H14" s="29" t="s">
        <v>268</v>
      </c>
      <c r="I14" s="25" t="s">
        <v>114</v>
      </c>
      <c r="L14" s="26" t="s">
        <v>232</v>
      </c>
    </row>
    <row r="15" spans="1:12" ht="114.75" x14ac:dyDescent="0.25">
      <c r="A15" s="22" t="s">
        <v>129</v>
      </c>
      <c r="B15" s="23">
        <v>6</v>
      </c>
      <c r="C15" s="23" t="str">
        <f>Concepts!$B$24</f>
        <v>1_1 test Startup and wrapup</v>
      </c>
      <c r="D15" s="23" t="str">
        <f t="shared" si="0"/>
        <v xml:space="preserve">eyesBase: close() </v>
      </c>
      <c r="E15" s="22" t="s">
        <v>208</v>
      </c>
      <c r="F15" s="22" t="s">
        <v>171</v>
      </c>
      <c r="G15" s="29" t="s">
        <v>561</v>
      </c>
      <c r="H15" s="29" t="s">
        <v>317</v>
      </c>
      <c r="I15" s="25" t="s">
        <v>115</v>
      </c>
    </row>
    <row r="16" spans="1:12" ht="30" x14ac:dyDescent="0.25">
      <c r="A16" s="22" t="s">
        <v>129</v>
      </c>
      <c r="B16" s="23">
        <v>6.1</v>
      </c>
      <c r="C16" s="23" t="str">
        <f>Concepts!$B$24</f>
        <v>1_1 test Startup and wrapup</v>
      </c>
      <c r="D16" s="23" t="str">
        <f t="shared" si="0"/>
        <v>eyesBase: abortIfNotClosed()</v>
      </c>
      <c r="E16" s="22" t="s">
        <v>208</v>
      </c>
      <c r="F16" s="22" t="s">
        <v>243</v>
      </c>
      <c r="G16" s="24" t="s">
        <v>253</v>
      </c>
      <c r="H16" s="24" t="s">
        <v>268</v>
      </c>
      <c r="I16" s="30" t="s">
        <v>116</v>
      </c>
    </row>
    <row r="17" spans="1:12" ht="38.25" x14ac:dyDescent="0.25">
      <c r="A17" s="22" t="str">
        <f>groups!$A$1</f>
        <v>base</v>
      </c>
      <c r="B17" s="23">
        <v>7</v>
      </c>
      <c r="C17" s="23" t="str">
        <f>Concepts!$B$25</f>
        <v>1_2 Ways to initiate Matches</v>
      </c>
      <c r="D17" s="23" t="str">
        <f t="shared" si="0"/>
        <v>eyes:testWindow()</v>
      </c>
      <c r="E17" s="22" t="s">
        <v>209</v>
      </c>
      <c r="F17" s="22" t="s">
        <v>243</v>
      </c>
      <c r="G17" s="27" t="s">
        <v>444</v>
      </c>
      <c r="H17" s="27" t="s">
        <v>343</v>
      </c>
      <c r="I17" s="27" t="s">
        <v>562</v>
      </c>
      <c r="K17" s="22" t="str">
        <f>Concepts!$B$25</f>
        <v>1_2 Ways to initiate Matches</v>
      </c>
      <c r="L17" s="26" t="s">
        <v>237</v>
      </c>
    </row>
    <row r="18" spans="1:12" ht="30" x14ac:dyDescent="0.25">
      <c r="A18" s="22" t="str">
        <f>groups!$A$1</f>
        <v>base</v>
      </c>
      <c r="B18" s="23">
        <v>7</v>
      </c>
      <c r="C18" s="23" t="str">
        <f>Concepts!$B$25</f>
        <v>1_2 Ways to initiate Matches</v>
      </c>
      <c r="D18" s="23" t="str">
        <f t="shared" si="0"/>
        <v>eyes:testWindow()</v>
      </c>
      <c r="E18" s="22" t="s">
        <v>209</v>
      </c>
      <c r="F18" s="22" t="s">
        <v>243</v>
      </c>
      <c r="G18" s="27" t="s">
        <v>444</v>
      </c>
      <c r="H18" s="27" t="s">
        <v>345</v>
      </c>
      <c r="I18" s="27" t="s">
        <v>563</v>
      </c>
      <c r="K18" s="22" t="str">
        <f>Concepts!$B$25</f>
        <v>1_2 Ways to initiate Matches</v>
      </c>
    </row>
    <row r="19" spans="1:12" ht="150" x14ac:dyDescent="0.25">
      <c r="A19" s="22" t="str">
        <f>groups!$A$1</f>
        <v>base</v>
      </c>
      <c r="B19" s="23">
        <v>7</v>
      </c>
      <c r="C19" s="23" t="str">
        <f>Concepts!$B$25</f>
        <v>1_2 Ways to initiate Matches</v>
      </c>
      <c r="D19" s="23" t="str">
        <f t="shared" si="0"/>
        <v>eyes:testWindow()</v>
      </c>
      <c r="E19" s="22" t="s">
        <v>209</v>
      </c>
      <c r="F19" s="22" t="s">
        <v>243</v>
      </c>
      <c r="G19" s="27" t="s">
        <v>444</v>
      </c>
      <c r="H19" s="27" t="s">
        <v>342</v>
      </c>
      <c r="I19" s="22" t="s">
        <v>10</v>
      </c>
      <c r="K19" s="22" t="str">
        <f>Concepts!$B$25</f>
        <v>1_2 Ways to initiate Matches</v>
      </c>
    </row>
    <row r="20" spans="1:12" ht="51" x14ac:dyDescent="0.25">
      <c r="A20" s="22" t="str">
        <f>groups!$A$1</f>
        <v>base</v>
      </c>
      <c r="B20" s="23">
        <v>7</v>
      </c>
      <c r="C20" s="23" t="str">
        <f>Concepts!$B$25</f>
        <v>1_2 Ways to initiate Matches</v>
      </c>
      <c r="D20" s="23" t="str">
        <f t="shared" si="0"/>
        <v>eyes:testWindow()</v>
      </c>
      <c r="E20" s="22" t="s">
        <v>209</v>
      </c>
      <c r="F20" s="22" t="s">
        <v>243</v>
      </c>
      <c r="G20" s="27" t="s">
        <v>444</v>
      </c>
      <c r="H20" s="27" t="s">
        <v>344</v>
      </c>
      <c r="I20" s="27" t="s">
        <v>564</v>
      </c>
      <c r="K20" s="22" t="str">
        <f>Concepts!$B$25</f>
        <v>1_2 Ways to initiate Matches</v>
      </c>
    </row>
    <row r="21" spans="1:12" ht="36" x14ac:dyDescent="0.25">
      <c r="A21" s="31" t="str">
        <f>groups!$A$12</f>
        <v>base-advanced</v>
      </c>
      <c r="B21" s="32">
        <v>1</v>
      </c>
      <c r="C21" s="23" t="str">
        <f>Concepts!$B$25</f>
        <v>1_2 Ways to initiate Matches</v>
      </c>
      <c r="D21" s="23" t="str">
        <f t="shared" si="0"/>
        <v xml:space="preserve">eyes:check() </v>
      </c>
      <c r="E21" s="22" t="s">
        <v>209</v>
      </c>
      <c r="F21" s="22" t="s">
        <v>243</v>
      </c>
      <c r="G21" s="33" t="s">
        <v>446</v>
      </c>
      <c r="H21" s="33" t="s">
        <v>357</v>
      </c>
      <c r="I21" s="34" t="s">
        <v>70</v>
      </c>
      <c r="K21" s="22" t="str">
        <f>CONCATENATE(Concepts!$B$32,",",Concepts!$B$25)</f>
        <v>2_3 MatchingUnitsTypes,1_2 Ways to initiate Matches</v>
      </c>
      <c r="L21" s="26" t="s">
        <v>238</v>
      </c>
    </row>
    <row r="22" spans="1:12" ht="30" x14ac:dyDescent="0.25">
      <c r="A22" s="31" t="str">
        <f>groups!$A$12</f>
        <v>base-advanced</v>
      </c>
      <c r="B22" s="32">
        <v>2</v>
      </c>
      <c r="C22" s="22" t="str">
        <f>CONCATENATE(Concepts!$B$32)</f>
        <v>2_3 MatchingUnitsTypes</v>
      </c>
      <c r="D22" s="23" t="str">
        <f t="shared" si="0"/>
        <v>eyes:checkElement()</v>
      </c>
      <c r="E22" s="22" t="s">
        <v>209</v>
      </c>
      <c r="F22" s="22" t="s">
        <v>243</v>
      </c>
      <c r="G22" s="27" t="s">
        <v>450</v>
      </c>
      <c r="H22" s="27" t="s">
        <v>360</v>
      </c>
      <c r="I22" s="22" t="s">
        <v>25</v>
      </c>
    </row>
    <row r="23" spans="1:12" ht="30" x14ac:dyDescent="0.25">
      <c r="A23" s="31" t="str">
        <f>groups!$A$12</f>
        <v>base-advanced</v>
      </c>
      <c r="B23" s="32">
        <v>2</v>
      </c>
      <c r="C23" s="22" t="str">
        <f>CONCATENATE(Concepts!$B$32)</f>
        <v>2_3 MatchingUnitsTypes</v>
      </c>
      <c r="D23" s="23" t="str">
        <f t="shared" si="0"/>
        <v>eyes:checkElement()</v>
      </c>
      <c r="E23" s="22" t="s">
        <v>209</v>
      </c>
      <c r="F23" s="22" t="s">
        <v>243</v>
      </c>
      <c r="G23" s="27" t="s">
        <v>450</v>
      </c>
      <c r="H23" s="27" t="s">
        <v>362</v>
      </c>
      <c r="I23" s="22" t="s">
        <v>24</v>
      </c>
      <c r="K23" s="22" t="str">
        <f>CONCATENATE(Concepts!$B$32)</f>
        <v>2_3 MatchingUnitsTypes</v>
      </c>
    </row>
    <row r="24" spans="1:12" ht="150" x14ac:dyDescent="0.25">
      <c r="A24" s="31" t="str">
        <f>groups!$A$12</f>
        <v>base-advanced</v>
      </c>
      <c r="B24" s="32">
        <v>2</v>
      </c>
      <c r="C24" s="22" t="str">
        <f>CONCATENATE(Concepts!$B$32)</f>
        <v>2_3 MatchingUnitsTypes</v>
      </c>
      <c r="D24" s="23" t="str">
        <f t="shared" si="0"/>
        <v>eyes:checkElement()</v>
      </c>
      <c r="E24" s="22" t="s">
        <v>209</v>
      </c>
      <c r="F24" s="22" t="s">
        <v>243</v>
      </c>
      <c r="G24" s="27" t="s">
        <v>450</v>
      </c>
      <c r="H24" s="27" t="s">
        <v>408</v>
      </c>
      <c r="I24" s="22" t="s">
        <v>640</v>
      </c>
      <c r="K24" s="22" t="str">
        <f>CONCATENATE(Concepts!$B$32)</f>
        <v>2_3 MatchingUnitsTypes</v>
      </c>
    </row>
    <row r="25" spans="1:12" ht="30" x14ac:dyDescent="0.25">
      <c r="A25" s="31" t="str">
        <f>groups!$A$12</f>
        <v>base-advanced</v>
      </c>
      <c r="B25" s="32">
        <v>2</v>
      </c>
      <c r="C25" s="22" t="str">
        <f>CONCATENATE(Concepts!$B$32)</f>
        <v>2_3 MatchingUnitsTypes</v>
      </c>
      <c r="D25" s="23" t="str">
        <f t="shared" si="0"/>
        <v>eyes:checkElement()</v>
      </c>
      <c r="E25" s="22" t="s">
        <v>209</v>
      </c>
      <c r="F25" s="22" t="s">
        <v>243</v>
      </c>
      <c r="G25" s="27" t="s">
        <v>450</v>
      </c>
      <c r="H25" s="27" t="s">
        <v>367</v>
      </c>
      <c r="I25" s="22" t="s">
        <v>23</v>
      </c>
      <c r="K25" s="22" t="str">
        <f>CONCATENATE(Concepts!$B$32)</f>
        <v>2_3 MatchingUnitsTypes</v>
      </c>
    </row>
    <row r="26" spans="1:12" ht="30" x14ac:dyDescent="0.25">
      <c r="A26" s="31" t="str">
        <f>groups!$A$12</f>
        <v>base-advanced</v>
      </c>
      <c r="B26" s="32">
        <v>2</v>
      </c>
      <c r="C26" s="22" t="str">
        <f>CONCATENATE(Concepts!$B$32)</f>
        <v>2_3 MatchingUnitsTypes</v>
      </c>
      <c r="D26" s="23" t="str">
        <f t="shared" si="0"/>
        <v>eyes:checkElement()</v>
      </c>
      <c r="E26" s="22" t="s">
        <v>209</v>
      </c>
      <c r="G26" s="27" t="s">
        <v>450</v>
      </c>
      <c r="H26" s="27" t="s">
        <v>409</v>
      </c>
      <c r="I26" s="22" t="s">
        <v>22</v>
      </c>
      <c r="K26" s="22" t="str">
        <f>CONCATENATE(Concepts!$B$32)</f>
        <v>2_3 MatchingUnitsTypes</v>
      </c>
    </row>
    <row r="27" spans="1:12" ht="150" x14ac:dyDescent="0.25">
      <c r="A27" s="31" t="str">
        <f>groups!$A$12</f>
        <v>base-advanced</v>
      </c>
      <c r="B27" s="32">
        <v>2</v>
      </c>
      <c r="C27" s="22" t="str">
        <f>CONCATENATE(Concepts!$B$32)</f>
        <v>2_3 MatchingUnitsTypes</v>
      </c>
      <c r="D27" s="23" t="str">
        <f t="shared" si="0"/>
        <v>eyes:checkElement()</v>
      </c>
      <c r="E27" s="22" t="s">
        <v>209</v>
      </c>
      <c r="F27" s="22" t="s">
        <v>243</v>
      </c>
      <c r="G27" s="27" t="s">
        <v>450</v>
      </c>
      <c r="H27" s="27" t="s">
        <v>371</v>
      </c>
      <c r="I27" s="22" t="s">
        <v>21</v>
      </c>
      <c r="K27" s="22" t="str">
        <f>CONCATENATE(Concepts!$B$32)</f>
        <v>2_3 MatchingUnitsTypes</v>
      </c>
      <c r="L27" s="26" t="s">
        <v>240</v>
      </c>
    </row>
    <row r="28" spans="1:12" ht="105" x14ac:dyDescent="0.25">
      <c r="A28" s="31" t="str">
        <f>groups!$A$12</f>
        <v>base-advanced</v>
      </c>
      <c r="B28" s="32">
        <v>2</v>
      </c>
      <c r="C28" s="22" t="str">
        <f>CONCATENATE(Concepts!$B$32)</f>
        <v>2_3 MatchingUnitsTypes</v>
      </c>
      <c r="D28" s="23" t="str">
        <f t="shared" si="0"/>
        <v>eyes:checkFrame()</v>
      </c>
      <c r="E28" s="22" t="s">
        <v>209</v>
      </c>
      <c r="G28" s="27" t="s">
        <v>449</v>
      </c>
      <c r="H28" s="27" t="s">
        <v>401</v>
      </c>
      <c r="I28" s="22" t="s">
        <v>32</v>
      </c>
      <c r="K28" s="22" t="str">
        <f>CONCATENATE(Concepts!$B$32)</f>
        <v>2_3 MatchingUnitsTypes</v>
      </c>
    </row>
    <row r="29" spans="1:12" ht="30" x14ac:dyDescent="0.25">
      <c r="A29" s="31" t="str">
        <f>groups!$A$12</f>
        <v>base-advanced</v>
      </c>
      <c r="B29" s="32">
        <v>2</v>
      </c>
      <c r="C29" s="22" t="str">
        <f>CONCATENATE(Concepts!$B$32)</f>
        <v>2_3 MatchingUnitsTypes</v>
      </c>
      <c r="D29" s="23" t="str">
        <f t="shared" si="0"/>
        <v>eyes:checkFrame()</v>
      </c>
      <c r="E29" s="22" t="s">
        <v>209</v>
      </c>
      <c r="F29" s="22" t="s">
        <v>243</v>
      </c>
      <c r="G29" s="27" t="s">
        <v>449</v>
      </c>
      <c r="H29" s="27" t="s">
        <v>393</v>
      </c>
      <c r="I29" s="22" t="s">
        <v>40</v>
      </c>
      <c r="K29" s="22" t="str">
        <f>CONCATENATE(Concepts!$B$32)</f>
        <v>2_3 MatchingUnitsTypes</v>
      </c>
    </row>
    <row r="30" spans="1:12" ht="38.25" x14ac:dyDescent="0.25">
      <c r="A30" s="31" t="str">
        <f>groups!$A$12</f>
        <v>base-advanced</v>
      </c>
      <c r="B30" s="32">
        <v>2</v>
      </c>
      <c r="C30" s="22" t="str">
        <f>CONCATENATE(Concepts!$B$32)</f>
        <v>2_3 MatchingUnitsTypes</v>
      </c>
      <c r="D30" s="23" t="str">
        <f t="shared" si="0"/>
        <v>eyes:checkFrame()</v>
      </c>
      <c r="E30" s="22" t="s">
        <v>209</v>
      </c>
      <c r="F30" s="22" t="s">
        <v>243</v>
      </c>
      <c r="G30" s="27" t="s">
        <v>449</v>
      </c>
      <c r="H30" s="27" t="s">
        <v>394</v>
      </c>
      <c r="I30" s="22" t="s">
        <v>39</v>
      </c>
      <c r="K30" s="22" t="str">
        <f>CONCATENATE(Concepts!$B$32)</f>
        <v>2_3 MatchingUnitsTypes</v>
      </c>
    </row>
    <row r="31" spans="1:12" ht="120" x14ac:dyDescent="0.25">
      <c r="A31" s="31" t="str">
        <f>groups!$A$12</f>
        <v>base-advanced</v>
      </c>
      <c r="B31" s="32">
        <v>2</v>
      </c>
      <c r="C31" s="22" t="str">
        <f>CONCATENATE(Concepts!$B$32)</f>
        <v>2_3 MatchingUnitsTypes</v>
      </c>
      <c r="D31" s="23" t="str">
        <f t="shared" si="0"/>
        <v>eyes:checkFrame()</v>
      </c>
      <c r="E31" s="22" t="s">
        <v>209</v>
      </c>
      <c r="F31" s="22" t="s">
        <v>243</v>
      </c>
      <c r="G31" s="27" t="s">
        <v>449</v>
      </c>
      <c r="H31" s="27" t="s">
        <v>395</v>
      </c>
      <c r="I31" s="22" t="s">
        <v>38</v>
      </c>
      <c r="K31" s="22" t="str">
        <f>CONCATENATE(Concepts!$B$32)</f>
        <v>2_3 MatchingUnitsTypes</v>
      </c>
    </row>
    <row r="32" spans="1:12" ht="30" x14ac:dyDescent="0.25">
      <c r="A32" s="31" t="str">
        <f>groups!$A$12</f>
        <v>base-advanced</v>
      </c>
      <c r="B32" s="32">
        <v>2</v>
      </c>
      <c r="C32" s="22" t="str">
        <f>CONCATENATE(Concepts!$B$32)</f>
        <v>2_3 MatchingUnitsTypes</v>
      </c>
      <c r="D32" s="23" t="str">
        <f t="shared" si="0"/>
        <v>eyes:checkFrame()</v>
      </c>
      <c r="E32" s="22" t="s">
        <v>209</v>
      </c>
      <c r="F32" s="22" t="s">
        <v>243</v>
      </c>
      <c r="G32" s="27" t="s">
        <v>449</v>
      </c>
      <c r="H32" s="27" t="s">
        <v>396</v>
      </c>
      <c r="I32" s="22" t="s">
        <v>37</v>
      </c>
      <c r="K32" s="22" t="str">
        <f>CONCATENATE(Concepts!$B$32)</f>
        <v>2_3 MatchingUnitsTypes</v>
      </c>
    </row>
    <row r="33" spans="1:11" ht="30" x14ac:dyDescent="0.25">
      <c r="A33" s="31" t="str">
        <f>groups!$A$12</f>
        <v>base-advanced</v>
      </c>
      <c r="B33" s="32">
        <v>2</v>
      </c>
      <c r="C33" s="22" t="str">
        <f>CONCATENATE(Concepts!$B$32)</f>
        <v>2_3 MatchingUnitsTypes</v>
      </c>
      <c r="D33" s="23" t="str">
        <f t="shared" si="0"/>
        <v>eyes:checkFrame()</v>
      </c>
      <c r="E33" s="22" t="s">
        <v>209</v>
      </c>
      <c r="G33" s="27" t="s">
        <v>449</v>
      </c>
      <c r="H33" s="27" t="s">
        <v>397</v>
      </c>
      <c r="I33" s="22" t="s">
        <v>36</v>
      </c>
      <c r="K33" s="22" t="str">
        <f>CONCATENATE(Concepts!$B$32)</f>
        <v>2_3 MatchingUnitsTypes</v>
      </c>
    </row>
    <row r="34" spans="1:11" ht="105" x14ac:dyDescent="0.25">
      <c r="A34" s="31" t="str">
        <f>groups!$A$12</f>
        <v>base-advanced</v>
      </c>
      <c r="B34" s="32">
        <v>2</v>
      </c>
      <c r="C34" s="22" t="str">
        <f>CONCATENATE(Concepts!$B$32)</f>
        <v>2_3 MatchingUnitsTypes</v>
      </c>
      <c r="D34" s="23" t="str">
        <f t="shared" si="0"/>
        <v>eyes:checkFrame()</v>
      </c>
      <c r="E34" s="22" t="s">
        <v>209</v>
      </c>
      <c r="F34" s="22" t="s">
        <v>243</v>
      </c>
      <c r="G34" s="27" t="s">
        <v>449</v>
      </c>
      <c r="H34" s="27" t="s">
        <v>398</v>
      </c>
      <c r="I34" s="22" t="s">
        <v>35</v>
      </c>
      <c r="K34" s="22" t="str">
        <f>CONCATENATE(Concepts!$B$32)</f>
        <v>2_3 MatchingUnitsTypes</v>
      </c>
    </row>
    <row r="35" spans="1:11" ht="30" x14ac:dyDescent="0.25">
      <c r="A35" s="31" t="str">
        <f>groups!$A$12</f>
        <v>base-advanced</v>
      </c>
      <c r="B35" s="32">
        <v>2</v>
      </c>
      <c r="C35" s="22" t="str">
        <f>CONCATENATE(Concepts!$B$32)</f>
        <v>2_3 MatchingUnitsTypes</v>
      </c>
      <c r="D35" s="23" t="str">
        <f t="shared" si="0"/>
        <v>eyes:checkFrame()</v>
      </c>
      <c r="E35" s="22" t="s">
        <v>209</v>
      </c>
      <c r="F35" s="22" t="s">
        <v>243</v>
      </c>
      <c r="G35" s="27" t="s">
        <v>449</v>
      </c>
      <c r="H35" s="27" t="s">
        <v>399</v>
      </c>
      <c r="I35" s="22" t="s">
        <v>34</v>
      </c>
      <c r="K35" s="22" t="str">
        <f>CONCATENATE(Concepts!$B$32)</f>
        <v>2_3 MatchingUnitsTypes</v>
      </c>
    </row>
    <row r="36" spans="1:11" ht="38.25" x14ac:dyDescent="0.25">
      <c r="A36" s="31" t="str">
        <f>groups!$A$12</f>
        <v>base-advanced</v>
      </c>
      <c r="B36" s="32">
        <v>2</v>
      </c>
      <c r="C36" s="22" t="str">
        <f>CONCATENATE(Concepts!$B$32)</f>
        <v>2_3 MatchingUnitsTypes</v>
      </c>
      <c r="D36" s="23" t="str">
        <f t="shared" si="0"/>
        <v>eyes:checkFrame()</v>
      </c>
      <c r="E36" s="22" t="s">
        <v>209</v>
      </c>
      <c r="F36" s="22" t="s">
        <v>243</v>
      </c>
      <c r="G36" s="27" t="s">
        <v>449</v>
      </c>
      <c r="H36" s="27" t="s">
        <v>400</v>
      </c>
      <c r="I36" s="22" t="s">
        <v>33</v>
      </c>
      <c r="K36" s="22" t="str">
        <f>CONCATENATE(Concepts!$B$32)</f>
        <v>2_3 MatchingUnitsTypes</v>
      </c>
    </row>
    <row r="37" spans="1:11" ht="150" x14ac:dyDescent="0.25">
      <c r="A37" s="31" t="str">
        <f>groups!$A$12</f>
        <v>base-advanced</v>
      </c>
      <c r="B37" s="32">
        <v>2</v>
      </c>
      <c r="C37" s="22" t="str">
        <f>CONCATENATE(Concepts!$B$32)</f>
        <v>2_3 MatchingUnitsTypes</v>
      </c>
      <c r="D37" s="23" t="str">
        <f t="shared" si="0"/>
        <v>eyes:checkFrame()</v>
      </c>
      <c r="E37" s="22" t="s">
        <v>209</v>
      </c>
      <c r="F37" s="22" t="s">
        <v>243</v>
      </c>
      <c r="G37" s="27" t="s">
        <v>449</v>
      </c>
      <c r="H37" s="27" t="s">
        <v>402</v>
      </c>
      <c r="I37" s="22" t="s">
        <v>641</v>
      </c>
      <c r="K37" s="22" t="str">
        <f>CONCATENATE(Concepts!$B$32)</f>
        <v>2_3 MatchingUnitsTypes</v>
      </c>
    </row>
    <row r="38" spans="1:11" ht="30" x14ac:dyDescent="0.25">
      <c r="A38" s="31" t="str">
        <f>groups!$A$12</f>
        <v>base-advanced</v>
      </c>
      <c r="B38" s="32">
        <v>2</v>
      </c>
      <c r="C38" s="22" t="str">
        <f>CONCATENATE(Concepts!$B$32)</f>
        <v>2_3 MatchingUnitsTypes</v>
      </c>
      <c r="D38" s="23" t="str">
        <f t="shared" si="0"/>
        <v>eyes:checkFrame()</v>
      </c>
      <c r="E38" s="22" t="s">
        <v>209</v>
      </c>
      <c r="F38" s="22" t="s">
        <v>243</v>
      </c>
      <c r="G38" s="27" t="s">
        <v>449</v>
      </c>
      <c r="H38" s="27" t="s">
        <v>403</v>
      </c>
      <c r="I38" s="22" t="s">
        <v>31</v>
      </c>
      <c r="K38" s="22" t="str">
        <f>CONCATENATE(Concepts!$B$32)</f>
        <v>2_3 MatchingUnitsTypes</v>
      </c>
    </row>
    <row r="39" spans="1:11" ht="30" x14ac:dyDescent="0.25">
      <c r="A39" s="31" t="str">
        <f>groups!$A$12</f>
        <v>base-advanced</v>
      </c>
      <c r="B39" s="32">
        <v>2</v>
      </c>
      <c r="C39" s="22" t="str">
        <f>CONCATENATE(Concepts!$B$32)</f>
        <v>2_3 MatchingUnitsTypes</v>
      </c>
      <c r="D39" s="23" t="str">
        <f t="shared" si="0"/>
        <v>eyes:checkFrame()</v>
      </c>
      <c r="E39" s="22" t="s">
        <v>209</v>
      </c>
      <c r="F39" s="22" t="s">
        <v>243</v>
      </c>
      <c r="G39" s="27" t="s">
        <v>449</v>
      </c>
      <c r="H39" s="27" t="s">
        <v>404</v>
      </c>
      <c r="I39" s="22" t="s">
        <v>30</v>
      </c>
      <c r="K39" s="22" t="str">
        <f>CONCATENATE(Concepts!$B$32)</f>
        <v>2_3 MatchingUnitsTypes</v>
      </c>
    </row>
    <row r="40" spans="1:11" ht="63.75" x14ac:dyDescent="0.25">
      <c r="A40" s="31" t="str">
        <f>groups!$A$12</f>
        <v>base-advanced</v>
      </c>
      <c r="B40" s="32">
        <v>2</v>
      </c>
      <c r="C40" s="22" t="str">
        <f>CONCATENATE(Concepts!$B$32)</f>
        <v>2_3 MatchingUnitsTypes</v>
      </c>
      <c r="D40" s="23" t="str">
        <f t="shared" si="0"/>
        <v>eyes:checkRegion()</v>
      </c>
      <c r="E40" s="22" t="s">
        <v>209</v>
      </c>
      <c r="F40" s="22" t="s">
        <v>243</v>
      </c>
      <c r="G40" s="27" t="s">
        <v>447</v>
      </c>
      <c r="H40" s="27" t="s">
        <v>366</v>
      </c>
      <c r="I40" s="22" t="s">
        <v>62</v>
      </c>
      <c r="K40" s="22" t="str">
        <f>CONCATENATE(Concepts!$B$32)</f>
        <v>2_3 MatchingUnitsTypes</v>
      </c>
    </row>
    <row r="41" spans="1:11" ht="30" x14ac:dyDescent="0.25">
      <c r="A41" s="31" t="str">
        <f>groups!$A$12</f>
        <v>base-advanced</v>
      </c>
      <c r="B41" s="32">
        <v>2</v>
      </c>
      <c r="C41" s="22" t="str">
        <f>CONCATENATE(Concepts!$B$32)</f>
        <v>2_3 MatchingUnitsTypes</v>
      </c>
      <c r="D41" s="23" t="str">
        <f t="shared" si="0"/>
        <v>eyes:checkRegion()</v>
      </c>
      <c r="E41" s="22" t="s">
        <v>209</v>
      </c>
      <c r="F41" s="22" t="s">
        <v>243</v>
      </c>
      <c r="G41" s="27" t="s">
        <v>447</v>
      </c>
      <c r="H41" s="27" t="s">
        <v>367</v>
      </c>
      <c r="I41" s="22" t="s">
        <v>61</v>
      </c>
      <c r="K41" s="22" t="str">
        <f>CONCATENATE(Concepts!$B$32)</f>
        <v>2_3 MatchingUnitsTypes</v>
      </c>
    </row>
    <row r="42" spans="1:11" ht="45" x14ac:dyDescent="0.25">
      <c r="A42" s="31" t="str">
        <f>groups!$A$12</f>
        <v>base-advanced</v>
      </c>
      <c r="B42" s="32">
        <v>2</v>
      </c>
      <c r="C42" s="22" t="str">
        <f>CONCATENATE(Concepts!$B$32)</f>
        <v>2_3 MatchingUnitsTypes</v>
      </c>
      <c r="D42" s="23" t="str">
        <f t="shared" si="0"/>
        <v>eyes:checkRegion()</v>
      </c>
      <c r="E42" s="22" t="s">
        <v>209</v>
      </c>
      <c r="F42" s="22" t="s">
        <v>243</v>
      </c>
      <c r="G42" s="27" t="s">
        <v>447</v>
      </c>
      <c r="H42" s="27" t="s">
        <v>368</v>
      </c>
      <c r="I42" s="22" t="s">
        <v>60</v>
      </c>
      <c r="K42" s="22" t="str">
        <f>CONCATENATE(Concepts!$B$32)</f>
        <v>2_3 MatchingUnitsTypes</v>
      </c>
    </row>
    <row r="43" spans="1:11" ht="30" x14ac:dyDescent="0.25">
      <c r="A43" s="31" t="str">
        <f>groups!$A$12</f>
        <v>base-advanced</v>
      </c>
      <c r="B43" s="32">
        <v>2</v>
      </c>
      <c r="C43" s="22" t="str">
        <f>CONCATENATE(Concepts!$B$32)</f>
        <v>2_3 MatchingUnitsTypes</v>
      </c>
      <c r="D43" s="23" t="str">
        <f t="shared" si="0"/>
        <v>eyes:checkRegion()</v>
      </c>
      <c r="E43" s="22" t="s">
        <v>209</v>
      </c>
      <c r="F43" s="22" t="s">
        <v>243</v>
      </c>
      <c r="G43" s="27" t="s">
        <v>447</v>
      </c>
      <c r="H43" s="27" t="s">
        <v>369</v>
      </c>
      <c r="I43" s="22" t="s">
        <v>59</v>
      </c>
      <c r="K43" s="22" t="str">
        <f>CONCATENATE(Concepts!$B$32)</f>
        <v>2_3 MatchingUnitsTypes</v>
      </c>
    </row>
    <row r="44" spans="1:11" ht="51" x14ac:dyDescent="0.25">
      <c r="A44" s="31" t="str">
        <f>groups!$A$12</f>
        <v>base-advanced</v>
      </c>
      <c r="B44" s="32">
        <v>2</v>
      </c>
      <c r="C44" s="22" t="str">
        <f>CONCATENATE(Concepts!$B$32)</f>
        <v>2_3 MatchingUnitsTypes</v>
      </c>
      <c r="D44" s="23" t="str">
        <f t="shared" si="0"/>
        <v>eyes:checkRegion()</v>
      </c>
      <c r="E44" s="22" t="s">
        <v>209</v>
      </c>
      <c r="F44" s="22" t="s">
        <v>243</v>
      </c>
      <c r="G44" s="27" t="s">
        <v>447</v>
      </c>
      <c r="H44" s="27" t="s">
        <v>370</v>
      </c>
      <c r="I44" s="22" t="s">
        <v>58</v>
      </c>
      <c r="K44" s="22" t="str">
        <f>CONCATENATE(Concepts!$B$32)</f>
        <v>2_3 MatchingUnitsTypes</v>
      </c>
    </row>
    <row r="45" spans="1:11" ht="150" x14ac:dyDescent="0.25">
      <c r="A45" s="31" t="str">
        <f>groups!$A$12</f>
        <v>base-advanced</v>
      </c>
      <c r="B45" s="32">
        <v>2</v>
      </c>
      <c r="C45" s="22" t="str">
        <f>CONCATENATE(Concepts!$B$32)</f>
        <v>2_3 MatchingUnitsTypes</v>
      </c>
      <c r="D45" s="23" t="str">
        <f t="shared" si="0"/>
        <v>eyes:checkRegion()</v>
      </c>
      <c r="E45" s="22" t="s">
        <v>209</v>
      </c>
      <c r="F45" s="22" t="s">
        <v>243</v>
      </c>
      <c r="G45" s="27" t="s">
        <v>447</v>
      </c>
      <c r="H45" s="27" t="s">
        <v>371</v>
      </c>
      <c r="I45" s="22" t="s">
        <v>642</v>
      </c>
      <c r="K45" s="22" t="str">
        <f>CONCATENATE(Concepts!$B$32)</f>
        <v>2_3 MatchingUnitsTypes</v>
      </c>
    </row>
    <row r="46" spans="1:11" ht="63.75" x14ac:dyDescent="0.25">
      <c r="A46" s="31" t="str">
        <f>groups!$A$12</f>
        <v>base-advanced</v>
      </c>
      <c r="B46" s="32">
        <v>2</v>
      </c>
      <c r="C46" s="22" t="str">
        <f>CONCATENATE(Concepts!$B$32)</f>
        <v>2_3 MatchingUnitsTypes</v>
      </c>
      <c r="D46" s="23" t="str">
        <f t="shared" si="0"/>
        <v>eyes:checkRegion()</v>
      </c>
      <c r="E46" s="22" t="s">
        <v>209</v>
      </c>
      <c r="F46" s="22" t="s">
        <v>243</v>
      </c>
      <c r="G46" s="27" t="s">
        <v>447</v>
      </c>
      <c r="H46" s="27" t="s">
        <v>372</v>
      </c>
      <c r="I46" s="22" t="s">
        <v>57</v>
      </c>
      <c r="K46" s="22" t="str">
        <f>CONCATENATE(Concepts!$B$32)</f>
        <v>2_3 MatchingUnitsTypes</v>
      </c>
    </row>
    <row r="47" spans="1:11" ht="30" x14ac:dyDescent="0.25">
      <c r="A47" s="31" t="str">
        <f>groups!$A$12</f>
        <v>base-advanced</v>
      </c>
      <c r="B47" s="32">
        <v>2</v>
      </c>
      <c r="C47" s="22" t="str">
        <f>CONCATENATE(Concepts!$B$32)</f>
        <v>2_3 MatchingUnitsTypes</v>
      </c>
      <c r="D47" s="23" t="str">
        <f t="shared" si="0"/>
        <v>eyes:checkRegion()</v>
      </c>
      <c r="E47" s="22" t="s">
        <v>209</v>
      </c>
      <c r="F47" s="22" t="s">
        <v>243</v>
      </c>
      <c r="G47" s="27" t="s">
        <v>447</v>
      </c>
      <c r="H47" s="27" t="s">
        <v>358</v>
      </c>
      <c r="I47" s="22" t="s">
        <v>69</v>
      </c>
      <c r="K47" s="22" t="str">
        <f>CONCATENATE(Concepts!$B$32)</f>
        <v>2_3 MatchingUnitsTypes</v>
      </c>
    </row>
    <row r="48" spans="1:11" ht="150" x14ac:dyDescent="0.25">
      <c r="A48" s="31" t="str">
        <f>groups!$A$12</f>
        <v>base-advanced</v>
      </c>
      <c r="B48" s="32">
        <v>2</v>
      </c>
      <c r="C48" s="22" t="str">
        <f>CONCATENATE(Concepts!$B$32)</f>
        <v>2_3 MatchingUnitsTypes</v>
      </c>
      <c r="D48" s="23" t="str">
        <f t="shared" si="0"/>
        <v>eyes:checkRegion()</v>
      </c>
      <c r="E48" s="22" t="s">
        <v>209</v>
      </c>
      <c r="F48" s="22" t="s">
        <v>243</v>
      </c>
      <c r="G48" s="27" t="s">
        <v>447</v>
      </c>
      <c r="H48" s="27" t="s">
        <v>359</v>
      </c>
      <c r="I48" s="22" t="s">
        <v>68</v>
      </c>
      <c r="K48" s="22" t="str">
        <f>CONCATENATE(Concepts!$B$32)</f>
        <v>2_3 MatchingUnitsTypes</v>
      </c>
    </row>
    <row r="49" spans="1:11" ht="30" x14ac:dyDescent="0.25">
      <c r="A49" s="31" t="str">
        <f>groups!$A$12</f>
        <v>base-advanced</v>
      </c>
      <c r="B49" s="32">
        <v>2</v>
      </c>
      <c r="C49" s="22" t="str">
        <f>CONCATENATE(Concepts!$B$32)</f>
        <v>2_3 MatchingUnitsTypes</v>
      </c>
      <c r="D49" s="23" t="str">
        <f t="shared" si="0"/>
        <v>eyes:checkRegion()</v>
      </c>
      <c r="E49" s="22" t="s">
        <v>209</v>
      </c>
      <c r="F49" s="22" t="s">
        <v>243</v>
      </c>
      <c r="G49" s="27" t="s">
        <v>447</v>
      </c>
      <c r="H49" s="27" t="s">
        <v>360</v>
      </c>
      <c r="I49" s="22" t="s">
        <v>67</v>
      </c>
      <c r="K49" s="22" t="str">
        <f>CONCATENATE(Concepts!$B$32)</f>
        <v>2_3 MatchingUnitsTypes</v>
      </c>
    </row>
    <row r="50" spans="1:11" ht="45" x14ac:dyDescent="0.25">
      <c r="A50" s="31" t="str">
        <f>groups!$A$12</f>
        <v>base-advanced</v>
      </c>
      <c r="B50" s="32">
        <v>2</v>
      </c>
      <c r="C50" s="22" t="str">
        <f>CONCATENATE(Concepts!$B$32)</f>
        <v>2_3 MatchingUnitsTypes</v>
      </c>
      <c r="D50" s="23" t="str">
        <f t="shared" si="0"/>
        <v>eyes:checkRegion()</v>
      </c>
      <c r="E50" s="22" t="s">
        <v>209</v>
      </c>
      <c r="F50" s="22" t="s">
        <v>243</v>
      </c>
      <c r="G50" s="27" t="s">
        <v>447</v>
      </c>
      <c r="H50" s="27" t="s">
        <v>361</v>
      </c>
      <c r="I50" s="22" t="s">
        <v>66</v>
      </c>
      <c r="K50" s="22" t="str">
        <f>CONCATENATE(Concepts!$B$32)</f>
        <v>2_3 MatchingUnitsTypes</v>
      </c>
    </row>
    <row r="51" spans="1:11" ht="30" x14ac:dyDescent="0.25">
      <c r="A51" s="31" t="str">
        <f>groups!$A$12</f>
        <v>base-advanced</v>
      </c>
      <c r="B51" s="32">
        <v>2</v>
      </c>
      <c r="C51" s="22" t="str">
        <f>CONCATENATE(Concepts!$B$32)</f>
        <v>2_3 MatchingUnitsTypes</v>
      </c>
      <c r="D51" s="23" t="str">
        <f t="shared" si="0"/>
        <v>eyes:checkRegion()</v>
      </c>
      <c r="E51" s="22" t="s">
        <v>209</v>
      </c>
      <c r="F51" s="22" t="s">
        <v>243</v>
      </c>
      <c r="G51" s="27" t="s">
        <v>447</v>
      </c>
      <c r="H51" s="27" t="s">
        <v>363</v>
      </c>
      <c r="I51" s="22" t="s">
        <v>65</v>
      </c>
      <c r="K51" s="22" t="str">
        <f>CONCATENATE(Concepts!$B$32)</f>
        <v>2_3 MatchingUnitsTypes</v>
      </c>
    </row>
    <row r="52" spans="1:11" ht="60" x14ac:dyDescent="0.25">
      <c r="A52" s="31" t="str">
        <f>groups!$A$12</f>
        <v>base-advanced</v>
      </c>
      <c r="B52" s="32">
        <v>2</v>
      </c>
      <c r="C52" s="22" t="str">
        <f>CONCATENATE(Concepts!$B$32)</f>
        <v>2_3 MatchingUnitsTypes</v>
      </c>
      <c r="D52" s="23" t="str">
        <f t="shared" si="0"/>
        <v>eyes:checkRegion()</v>
      </c>
      <c r="E52" s="22" t="s">
        <v>209</v>
      </c>
      <c r="F52" s="22" t="s">
        <v>243</v>
      </c>
      <c r="G52" s="27" t="s">
        <v>447</v>
      </c>
      <c r="H52" s="27" t="s">
        <v>364</v>
      </c>
      <c r="I52" s="22" t="s">
        <v>64</v>
      </c>
      <c r="K52" s="22" t="str">
        <f>CONCATENATE(Concepts!$B$32)</f>
        <v>2_3 MatchingUnitsTypes</v>
      </c>
    </row>
    <row r="53" spans="1:11" ht="150" x14ac:dyDescent="0.25">
      <c r="A53" s="31" t="str">
        <f>groups!$A$12</f>
        <v>base-advanced</v>
      </c>
      <c r="B53" s="32">
        <v>2</v>
      </c>
      <c r="C53" s="22" t="str">
        <f>CONCATENATE(Concepts!$B$32)</f>
        <v>2_3 MatchingUnitsTypes</v>
      </c>
      <c r="D53" s="23" t="str">
        <f t="shared" si="0"/>
        <v>eyes:checkRegion()</v>
      </c>
      <c r="E53" s="22" t="s">
        <v>209</v>
      </c>
      <c r="F53" s="22" t="s">
        <v>243</v>
      </c>
      <c r="G53" s="27" t="s">
        <v>447</v>
      </c>
      <c r="H53" s="27" t="s">
        <v>365</v>
      </c>
      <c r="I53" s="22" t="s">
        <v>63</v>
      </c>
      <c r="K53" s="22" t="str">
        <f>CONCATENATE(Concepts!$B$32)</f>
        <v>2_3 MatchingUnitsTypes</v>
      </c>
    </row>
    <row r="54" spans="1:11" ht="76.5" x14ac:dyDescent="0.25">
      <c r="A54" s="31" t="str">
        <f>groups!$A$12</f>
        <v>base-advanced</v>
      </c>
      <c r="B54" s="32">
        <v>2</v>
      </c>
      <c r="C54" s="22" t="str">
        <f>CONCATENATE(Concepts!$B$32)</f>
        <v>2_3 MatchingUnitsTypes</v>
      </c>
      <c r="D54" s="23" t="str">
        <f t="shared" si="0"/>
        <v>eyes:checkRegionInFrame()</v>
      </c>
      <c r="E54" s="22" t="s">
        <v>209</v>
      </c>
      <c r="F54" s="22" t="s">
        <v>243</v>
      </c>
      <c r="G54" s="27" t="s">
        <v>448</v>
      </c>
      <c r="H54" s="27" t="s">
        <v>388</v>
      </c>
      <c r="I54" s="22" t="s">
        <v>43</v>
      </c>
      <c r="K54" s="22" t="str">
        <f>CONCATENATE(Concepts!$B$32)</f>
        <v>2_3 MatchingUnitsTypes</v>
      </c>
    </row>
    <row r="55" spans="1:11" ht="38.25" x14ac:dyDescent="0.25">
      <c r="A55" s="31" t="str">
        <f>groups!$A$12</f>
        <v>base-advanced</v>
      </c>
      <c r="B55" s="32">
        <v>2</v>
      </c>
      <c r="C55" s="22" t="str">
        <f>CONCATENATE(Concepts!$B$32)</f>
        <v>2_3 MatchingUnitsTypes</v>
      </c>
      <c r="D55" s="23" t="str">
        <f t="shared" si="0"/>
        <v>eyes:checkRegionInFrame()</v>
      </c>
      <c r="E55" s="22" t="s">
        <v>209</v>
      </c>
      <c r="F55" s="22" t="s">
        <v>243</v>
      </c>
      <c r="G55" s="27" t="s">
        <v>448</v>
      </c>
      <c r="H55" s="27" t="s">
        <v>407</v>
      </c>
      <c r="I55" s="22" t="s">
        <v>27</v>
      </c>
      <c r="K55" s="22" t="str">
        <f>CONCATENATE(Concepts!$B$32)</f>
        <v>2_3 MatchingUnitsTypes</v>
      </c>
    </row>
    <row r="56" spans="1:11" ht="30" x14ac:dyDescent="0.25">
      <c r="A56" s="31" t="str">
        <f>groups!$A$12</f>
        <v>base-advanced</v>
      </c>
      <c r="B56" s="32">
        <v>2</v>
      </c>
      <c r="C56" s="22" t="str">
        <f>CONCATENATE(Concepts!$B$32)</f>
        <v>2_3 MatchingUnitsTypes</v>
      </c>
      <c r="D56" s="23" t="str">
        <f t="shared" si="0"/>
        <v>eyes:checkRegionInFrame()</v>
      </c>
      <c r="E56" s="22" t="s">
        <v>209</v>
      </c>
      <c r="F56" s="22" t="s">
        <v>243</v>
      </c>
      <c r="G56" s="27" t="s">
        <v>448</v>
      </c>
      <c r="H56" s="27" t="s">
        <v>373</v>
      </c>
      <c r="I56" s="22" t="s">
        <v>56</v>
      </c>
      <c r="K56" s="22" t="str">
        <f>CONCATENATE(Concepts!$B$32)</f>
        <v>2_3 MatchingUnitsTypes</v>
      </c>
    </row>
    <row r="57" spans="1:11" ht="51" x14ac:dyDescent="0.25">
      <c r="A57" s="31" t="str">
        <f>groups!$A$12</f>
        <v>base-advanced</v>
      </c>
      <c r="B57" s="32">
        <v>2</v>
      </c>
      <c r="C57" s="22" t="str">
        <f>CONCATENATE(Concepts!$B$32)</f>
        <v>2_3 MatchingUnitsTypes</v>
      </c>
      <c r="D57" s="23" t="str">
        <f t="shared" si="0"/>
        <v>eyes:checkRegionInFrame()</v>
      </c>
      <c r="E57" s="22" t="s">
        <v>209</v>
      </c>
      <c r="F57" s="22" t="s">
        <v>243</v>
      </c>
      <c r="G57" s="27" t="s">
        <v>448</v>
      </c>
      <c r="H57" s="27" t="s">
        <v>374</v>
      </c>
      <c r="I57" s="22" t="s">
        <v>56</v>
      </c>
      <c r="K57" s="22" t="str">
        <f>CONCATENATE(Concepts!$B$32)</f>
        <v>2_3 MatchingUnitsTypes</v>
      </c>
    </row>
    <row r="58" spans="1:11" ht="38.25" x14ac:dyDescent="0.25">
      <c r="A58" s="31" t="str">
        <f>groups!$A$12</f>
        <v>base-advanced</v>
      </c>
      <c r="B58" s="32">
        <v>2</v>
      </c>
      <c r="C58" s="22" t="str">
        <f>CONCATENATE(Concepts!$B$32)</f>
        <v>2_3 MatchingUnitsTypes</v>
      </c>
      <c r="D58" s="23" t="str">
        <f t="shared" si="0"/>
        <v>eyes:checkRegionInFrame()</v>
      </c>
      <c r="E58" s="22" t="s">
        <v>209</v>
      </c>
      <c r="F58" s="22" t="s">
        <v>243</v>
      </c>
      <c r="G58" s="27" t="s">
        <v>448</v>
      </c>
      <c r="H58" s="27" t="s">
        <v>375</v>
      </c>
      <c r="I58" s="22" t="s">
        <v>55</v>
      </c>
      <c r="K58" s="22" t="str">
        <f>CONCATENATE(Concepts!$B$32)</f>
        <v>2_3 MatchingUnitsTypes</v>
      </c>
    </row>
    <row r="59" spans="1:11" ht="63.75" x14ac:dyDescent="0.25">
      <c r="A59" s="31" t="str">
        <f>groups!$A$12</f>
        <v>base-advanced</v>
      </c>
      <c r="B59" s="32">
        <v>2</v>
      </c>
      <c r="C59" s="22" t="str">
        <f>CONCATENATE(Concepts!$B$32)</f>
        <v>2_3 MatchingUnitsTypes</v>
      </c>
      <c r="D59" s="23" t="str">
        <f t="shared" si="0"/>
        <v>eyes:checkRegionInFrame()</v>
      </c>
      <c r="E59" s="22" t="s">
        <v>209</v>
      </c>
      <c r="F59" s="22" t="s">
        <v>243</v>
      </c>
      <c r="G59" s="27" t="s">
        <v>448</v>
      </c>
      <c r="H59" s="27" t="s">
        <v>376</v>
      </c>
      <c r="I59" s="22" t="s">
        <v>54</v>
      </c>
      <c r="K59" s="22" t="str">
        <f>CONCATENATE(Concepts!$B$32)</f>
        <v>2_3 MatchingUnitsTypes</v>
      </c>
    </row>
    <row r="60" spans="1:11" ht="51" x14ac:dyDescent="0.25">
      <c r="A60" s="31" t="str">
        <f>groups!$A$12</f>
        <v>base-advanced</v>
      </c>
      <c r="B60" s="32">
        <v>2</v>
      </c>
      <c r="C60" s="22" t="str">
        <f>CONCATENATE(Concepts!$B$32)</f>
        <v>2_3 MatchingUnitsTypes</v>
      </c>
      <c r="D60" s="23" t="str">
        <f t="shared" si="0"/>
        <v>eyes:checkRegionInFrame()</v>
      </c>
      <c r="E60" s="22" t="s">
        <v>209</v>
      </c>
      <c r="F60" s="22" t="s">
        <v>243</v>
      </c>
      <c r="G60" s="27" t="s">
        <v>448</v>
      </c>
      <c r="H60" s="27" t="s">
        <v>377</v>
      </c>
      <c r="I60" s="22" t="s">
        <v>53</v>
      </c>
      <c r="K60" s="22" t="str">
        <f>CONCATENATE(Concepts!$B$32)</f>
        <v>2_3 MatchingUnitsTypes</v>
      </c>
    </row>
    <row r="61" spans="1:11" ht="195" x14ac:dyDescent="0.25">
      <c r="A61" s="31" t="str">
        <f>groups!$A$12</f>
        <v>base-advanced</v>
      </c>
      <c r="B61" s="32">
        <v>2</v>
      </c>
      <c r="C61" s="22" t="str">
        <f>CONCATENATE(Concepts!$B$32)</f>
        <v>2_3 MatchingUnitsTypes</v>
      </c>
      <c r="D61" s="23" t="str">
        <f t="shared" si="0"/>
        <v>eyes:checkRegionInFrame()</v>
      </c>
      <c r="E61" s="22" t="s">
        <v>209</v>
      </c>
      <c r="F61" s="22" t="s">
        <v>243</v>
      </c>
      <c r="G61" s="27" t="s">
        <v>448</v>
      </c>
      <c r="H61" s="27" t="s">
        <v>378</v>
      </c>
      <c r="I61" s="22" t="s">
        <v>52</v>
      </c>
      <c r="K61" s="22" t="str">
        <f>CONCATENATE(Concepts!$B$32)</f>
        <v>2_3 MatchingUnitsTypes</v>
      </c>
    </row>
    <row r="62" spans="1:11" ht="38.25" x14ac:dyDescent="0.25">
      <c r="A62" s="31" t="str">
        <f>groups!$A$12</f>
        <v>base-advanced</v>
      </c>
      <c r="B62" s="32">
        <v>2</v>
      </c>
      <c r="C62" s="22" t="str">
        <f>CONCATENATE(Concepts!$B$32)</f>
        <v>2_3 MatchingUnitsTypes</v>
      </c>
      <c r="D62" s="23" t="str">
        <f t="shared" si="0"/>
        <v>eyes:checkRegionInFrame()</v>
      </c>
      <c r="E62" s="22" t="s">
        <v>209</v>
      </c>
      <c r="F62" s="22" t="s">
        <v>243</v>
      </c>
      <c r="G62" s="27" t="s">
        <v>448</v>
      </c>
      <c r="H62" s="27" t="s">
        <v>379</v>
      </c>
      <c r="I62" s="22" t="s">
        <v>51</v>
      </c>
      <c r="K62" s="22" t="str">
        <f>CONCATENATE(Concepts!$B$32)</f>
        <v>2_3 MatchingUnitsTypes</v>
      </c>
    </row>
    <row r="63" spans="1:11" ht="63.75" x14ac:dyDescent="0.25">
      <c r="A63" s="31" t="str">
        <f>groups!$A$12</f>
        <v>base-advanced</v>
      </c>
      <c r="B63" s="32">
        <v>2</v>
      </c>
      <c r="C63" s="22" t="str">
        <f>CONCATENATE(Concepts!$B$32)</f>
        <v>2_3 MatchingUnitsTypes</v>
      </c>
      <c r="D63" s="23" t="str">
        <f t="shared" si="0"/>
        <v>eyes:checkRegionInFrame()</v>
      </c>
      <c r="E63" s="22" t="s">
        <v>209</v>
      </c>
      <c r="F63" s="22" t="s">
        <v>243</v>
      </c>
      <c r="G63" s="27" t="s">
        <v>448</v>
      </c>
      <c r="H63" s="27" t="s">
        <v>380</v>
      </c>
      <c r="I63" s="22" t="s">
        <v>49</v>
      </c>
      <c r="K63" s="22" t="str">
        <f>CONCATENATE(Concepts!$B$32)</f>
        <v>2_3 MatchingUnitsTypes</v>
      </c>
    </row>
    <row r="64" spans="1:11" ht="51" x14ac:dyDescent="0.25">
      <c r="A64" s="31" t="str">
        <f>groups!$A$12</f>
        <v>base-advanced</v>
      </c>
      <c r="B64" s="32">
        <v>2</v>
      </c>
      <c r="C64" s="22" t="str">
        <f>CONCATENATE(Concepts!$B$32)</f>
        <v>2_3 MatchingUnitsTypes</v>
      </c>
      <c r="D64" s="23" t="str">
        <f t="shared" si="0"/>
        <v>eyes:checkRegionInFrame()</v>
      </c>
      <c r="E64" s="22" t="s">
        <v>209</v>
      </c>
      <c r="F64" s="22" t="s">
        <v>243</v>
      </c>
      <c r="G64" s="27" t="s">
        <v>448</v>
      </c>
      <c r="H64" s="27" t="s">
        <v>381</v>
      </c>
      <c r="I64" s="22" t="s">
        <v>50</v>
      </c>
      <c r="K64" s="22" t="str">
        <f>CONCATENATE(Concepts!$B$32)</f>
        <v>2_3 MatchingUnitsTypes</v>
      </c>
    </row>
    <row r="65" spans="1:12" ht="63.75" x14ac:dyDescent="0.25">
      <c r="A65" s="31" t="str">
        <f>groups!$A$12</f>
        <v>base-advanced</v>
      </c>
      <c r="B65" s="32">
        <v>2</v>
      </c>
      <c r="C65" s="22" t="str">
        <f>CONCATENATE(Concepts!$B$32)</f>
        <v>2_3 MatchingUnitsTypes</v>
      </c>
      <c r="D65" s="23" t="str">
        <f t="shared" si="0"/>
        <v>eyes:checkRegionInFrame()</v>
      </c>
      <c r="E65" s="22" t="s">
        <v>209</v>
      </c>
      <c r="F65" s="22" t="s">
        <v>243</v>
      </c>
      <c r="G65" s="27" t="s">
        <v>448</v>
      </c>
      <c r="H65" s="27" t="s">
        <v>383</v>
      </c>
      <c r="I65" s="22" t="s">
        <v>48</v>
      </c>
      <c r="K65" s="22" t="str">
        <f>CONCATENATE(Concepts!$B$32)</f>
        <v>2_3 MatchingUnitsTypes</v>
      </c>
    </row>
    <row r="66" spans="1:12" ht="180" x14ac:dyDescent="0.25">
      <c r="A66" s="31" t="str">
        <f>groups!$A$12</f>
        <v>base-advanced</v>
      </c>
      <c r="B66" s="32">
        <v>2</v>
      </c>
      <c r="C66" s="22" t="str">
        <f>CONCATENATE(Concepts!$B$32)</f>
        <v>2_3 MatchingUnitsTypes</v>
      </c>
      <c r="D66" s="23" t="str">
        <f t="shared" si="0"/>
        <v>eyes:checkRegionInFrame()</v>
      </c>
      <c r="E66" s="22" t="s">
        <v>209</v>
      </c>
      <c r="F66" s="22" t="s">
        <v>243</v>
      </c>
      <c r="G66" s="27" t="s">
        <v>448</v>
      </c>
      <c r="H66" s="27" t="s">
        <v>384</v>
      </c>
      <c r="I66" s="22" t="s">
        <v>47</v>
      </c>
      <c r="K66" s="22" t="str">
        <f>CONCATENATE(Concepts!$B$32)</f>
        <v>2_3 MatchingUnitsTypes</v>
      </c>
    </row>
    <row r="67" spans="1:12" ht="38.25" x14ac:dyDescent="0.25">
      <c r="A67" s="31" t="str">
        <f>groups!$A$12</f>
        <v>base-advanced</v>
      </c>
      <c r="B67" s="32">
        <v>2</v>
      </c>
      <c r="C67" s="22" t="str">
        <f>CONCATENATE(Concepts!$B$32)</f>
        <v>2_3 MatchingUnitsTypes</v>
      </c>
      <c r="D67" s="23" t="str">
        <f t="shared" ref="D67:D130" si="1">CONCATENATE(E67,":",G67)</f>
        <v>eyes:checkRegionInFrame()</v>
      </c>
      <c r="E67" s="22" t="s">
        <v>209</v>
      </c>
      <c r="F67" s="22" t="s">
        <v>243</v>
      </c>
      <c r="G67" s="27" t="s">
        <v>448</v>
      </c>
      <c r="H67" s="27" t="s">
        <v>385</v>
      </c>
      <c r="I67" s="22" t="s">
        <v>46</v>
      </c>
      <c r="K67" s="22" t="str">
        <f>CONCATENATE(Concepts!$B$32)</f>
        <v>2_3 MatchingUnitsTypes</v>
      </c>
    </row>
    <row r="68" spans="1:12" ht="63.75" x14ac:dyDescent="0.25">
      <c r="A68" s="31" t="str">
        <f>groups!$A$12</f>
        <v>base-advanced</v>
      </c>
      <c r="B68" s="32">
        <v>2</v>
      </c>
      <c r="C68" s="22" t="str">
        <f>CONCATENATE(Concepts!$B$32)</f>
        <v>2_3 MatchingUnitsTypes</v>
      </c>
      <c r="D68" s="23" t="str">
        <f t="shared" si="1"/>
        <v>eyes:checkRegionInFrame()</v>
      </c>
      <c r="E68" s="22" t="s">
        <v>209</v>
      </c>
      <c r="F68" s="22" t="s">
        <v>243</v>
      </c>
      <c r="G68" s="27" t="s">
        <v>448</v>
      </c>
      <c r="H68" s="27" t="s">
        <v>386</v>
      </c>
      <c r="I68" s="22" t="s">
        <v>45</v>
      </c>
      <c r="K68" s="22" t="str">
        <f>CONCATENATE(Concepts!$B$32)</f>
        <v>2_3 MatchingUnitsTypes</v>
      </c>
    </row>
    <row r="69" spans="1:12" ht="51" x14ac:dyDescent="0.25">
      <c r="A69" s="31" t="str">
        <f>groups!$A$12</f>
        <v>base-advanced</v>
      </c>
      <c r="B69" s="32">
        <v>2</v>
      </c>
      <c r="C69" s="22" t="str">
        <f>CONCATENATE(Concepts!$B$32)</f>
        <v>2_3 MatchingUnitsTypes</v>
      </c>
      <c r="D69" s="23" t="str">
        <f t="shared" si="1"/>
        <v>eyes:checkRegionInFrame()</v>
      </c>
      <c r="E69" s="22" t="s">
        <v>209</v>
      </c>
      <c r="F69" s="22" t="s">
        <v>243</v>
      </c>
      <c r="G69" s="27" t="s">
        <v>448</v>
      </c>
      <c r="H69" s="27" t="s">
        <v>387</v>
      </c>
      <c r="I69" s="22" t="s">
        <v>44</v>
      </c>
      <c r="K69" s="22" t="str">
        <f>CONCATENATE(Concepts!$B$32)</f>
        <v>2_3 MatchingUnitsTypes</v>
      </c>
    </row>
    <row r="70" spans="1:12" ht="38.25" x14ac:dyDescent="0.25">
      <c r="A70" s="31" t="str">
        <f>groups!$A$12</f>
        <v>base-advanced</v>
      </c>
      <c r="B70" s="32">
        <v>2</v>
      </c>
      <c r="C70" s="22" t="str">
        <f>CONCATENATE(Concepts!$B$32)</f>
        <v>2_3 MatchingUnitsTypes</v>
      </c>
      <c r="D70" s="23" t="str">
        <f t="shared" si="1"/>
        <v>eyes:checkRegionInFrame()</v>
      </c>
      <c r="E70" s="22" t="s">
        <v>209</v>
      </c>
      <c r="F70" s="22" t="s">
        <v>243</v>
      </c>
      <c r="G70" s="27" t="s">
        <v>448</v>
      </c>
      <c r="H70" s="27" t="s">
        <v>389</v>
      </c>
      <c r="I70" s="22" t="s">
        <v>42</v>
      </c>
      <c r="K70" s="22" t="str">
        <f>CONCATENATE(Concepts!$B$32)</f>
        <v>2_3 MatchingUnitsTypes</v>
      </c>
    </row>
    <row r="71" spans="1:12" ht="195" x14ac:dyDescent="0.25">
      <c r="A71" s="31" t="str">
        <f>groups!$A$12</f>
        <v>base-advanced</v>
      </c>
      <c r="B71" s="32">
        <v>2</v>
      </c>
      <c r="C71" s="22" t="str">
        <f>CONCATENATE(Concepts!$B$32)</f>
        <v>2_3 MatchingUnitsTypes</v>
      </c>
      <c r="D71" s="23" t="str">
        <f t="shared" si="1"/>
        <v>eyes:checkRegionInFrame()</v>
      </c>
      <c r="E71" s="22" t="s">
        <v>209</v>
      </c>
      <c r="F71" s="22" t="s">
        <v>243</v>
      </c>
      <c r="G71" s="27" t="s">
        <v>448</v>
      </c>
      <c r="H71" s="27" t="s">
        <v>390</v>
      </c>
      <c r="I71" s="22" t="s">
        <v>41</v>
      </c>
      <c r="K71" s="22" t="str">
        <f>CONCATENATE(Concepts!$B$32)</f>
        <v>2_3 MatchingUnitsTypes</v>
      </c>
    </row>
    <row r="72" spans="1:12" ht="84" x14ac:dyDescent="0.25">
      <c r="A72" s="31" t="str">
        <f>groups!$A$12</f>
        <v>base-advanced</v>
      </c>
      <c r="B72" s="32">
        <v>2</v>
      </c>
      <c r="C72" s="22" t="str">
        <f>CONCATENATE(Concepts!$B$32)</f>
        <v>2_3 MatchingUnitsTypes</v>
      </c>
      <c r="D72" s="23" t="str">
        <f t="shared" si="1"/>
        <v>eyes:checkRegionInFrame()</v>
      </c>
      <c r="E72" s="22" t="s">
        <v>209</v>
      </c>
      <c r="F72" s="22" t="s">
        <v>243</v>
      </c>
      <c r="G72" s="27" t="s">
        <v>448</v>
      </c>
      <c r="H72" s="33" t="s">
        <v>391</v>
      </c>
      <c r="I72" s="22"/>
      <c r="K72" s="22" t="str">
        <f>CONCATENATE(Concepts!$B$32)</f>
        <v>2_3 MatchingUnitsTypes</v>
      </c>
    </row>
    <row r="73" spans="1:12" ht="84" x14ac:dyDescent="0.25">
      <c r="A73" s="31" t="str">
        <f>groups!$A$12</f>
        <v>base-advanced</v>
      </c>
      <c r="B73" s="32">
        <v>2</v>
      </c>
      <c r="C73" s="22" t="str">
        <f>CONCATENATE(Concepts!$B$32)</f>
        <v>2_3 MatchingUnitsTypes</v>
      </c>
      <c r="D73" s="23" t="str">
        <f t="shared" si="1"/>
        <v>eyes:checkRegionInFrame()</v>
      </c>
      <c r="E73" s="22" t="s">
        <v>209</v>
      </c>
      <c r="F73" s="22" t="s">
        <v>252</v>
      </c>
      <c r="G73" s="27" t="s">
        <v>448</v>
      </c>
      <c r="H73" s="33" t="s">
        <v>392</v>
      </c>
      <c r="I73" s="22"/>
      <c r="K73" s="22" t="str">
        <f>CONCATENATE(Concepts!$B$32)</f>
        <v>2_3 MatchingUnitsTypes</v>
      </c>
    </row>
    <row r="74" spans="1:12" ht="51" x14ac:dyDescent="0.25">
      <c r="A74" s="31" t="str">
        <f>groups!$A$12</f>
        <v>base-advanced</v>
      </c>
      <c r="B74" s="32">
        <v>2</v>
      </c>
      <c r="C74" s="22" t="str">
        <f>CONCATENATE(Concepts!$B$32)</f>
        <v>2_3 MatchingUnitsTypes</v>
      </c>
      <c r="D74" s="23" t="str">
        <f t="shared" si="1"/>
        <v>eyes:checkRegionInFrame()</v>
      </c>
      <c r="E74" s="22" t="s">
        <v>209</v>
      </c>
      <c r="F74" s="22" t="s">
        <v>243</v>
      </c>
      <c r="G74" s="27" t="s">
        <v>448</v>
      </c>
      <c r="H74" s="27" t="s">
        <v>406</v>
      </c>
      <c r="I74" s="22" t="s">
        <v>28</v>
      </c>
      <c r="K74" s="22" t="str">
        <f>CONCATENATE(Concepts!$B$32)</f>
        <v>2_3 MatchingUnitsTypes</v>
      </c>
    </row>
    <row r="75" spans="1:12" ht="30" x14ac:dyDescent="0.25">
      <c r="A75" s="31" t="str">
        <f>groups!$A$12</f>
        <v>base-advanced</v>
      </c>
      <c r="B75" s="32">
        <v>2</v>
      </c>
      <c r="C75" s="22" t="str">
        <f>CONCATENATE(Concepts!$B$32)</f>
        <v>2_3 MatchingUnitsTypes</v>
      </c>
      <c r="D75" s="23" t="str">
        <f t="shared" si="1"/>
        <v>eyes:checkRegionInFrame()</v>
      </c>
      <c r="E75" s="22" t="s">
        <v>209</v>
      </c>
      <c r="F75" s="22" t="s">
        <v>243</v>
      </c>
      <c r="G75" s="27" t="s">
        <v>448</v>
      </c>
      <c r="H75" s="27" t="s">
        <v>405</v>
      </c>
      <c r="I75" s="22" t="s">
        <v>26</v>
      </c>
      <c r="K75" s="22" t="str">
        <f>CONCATENATE(Concepts!$B$32)</f>
        <v>2_3 MatchingUnitsTypes</v>
      </c>
      <c r="L75" s="26" t="s">
        <v>239</v>
      </c>
    </row>
    <row r="76" spans="1:12" ht="76.5" x14ac:dyDescent="0.25">
      <c r="A76" s="31" t="str">
        <f>groups!$A$12</f>
        <v>base-advanced</v>
      </c>
      <c r="B76" s="32">
        <v>2</v>
      </c>
      <c r="C76" s="22" t="str">
        <f>CONCATENATE(Concepts!$B$32)</f>
        <v>2_3 MatchingUnitsTypes</v>
      </c>
      <c r="D76" s="23" t="str">
        <f t="shared" si="1"/>
        <v>eyes:checkRegionInFrame()</v>
      </c>
      <c r="E76" s="22" t="s">
        <v>209</v>
      </c>
      <c r="F76" s="22" t="s">
        <v>243</v>
      </c>
      <c r="G76" s="27" t="s">
        <v>448</v>
      </c>
      <c r="H76" s="27" t="s">
        <v>382</v>
      </c>
      <c r="I76" s="22" t="s">
        <v>49</v>
      </c>
      <c r="K76" s="22" t="str">
        <f>CONCATENATE(Concepts!$B$32)</f>
        <v>2_3 MatchingUnitsTypes</v>
      </c>
    </row>
    <row r="77" spans="1:12" ht="210" x14ac:dyDescent="0.25">
      <c r="A77" s="31" t="str">
        <f>groups!$A$12</f>
        <v>base-advanced</v>
      </c>
      <c r="B77" s="32">
        <v>2</v>
      </c>
      <c r="C77" s="22" t="str">
        <f>CONCATENATE(Concepts!$B$32)</f>
        <v>2_3 MatchingUnitsTypes</v>
      </c>
      <c r="D77" s="23" t="str">
        <f t="shared" si="1"/>
        <v>eyes:checkRegionInFrame()</v>
      </c>
      <c r="E77" s="22" t="s">
        <v>209</v>
      </c>
      <c r="G77" s="27" t="s">
        <v>448</v>
      </c>
      <c r="H77" s="27" t="s">
        <v>405</v>
      </c>
      <c r="I77" s="22" t="s">
        <v>29</v>
      </c>
      <c r="K77" s="22" t="str">
        <f>CONCATENATE(Concepts!$B$32)</f>
        <v>2_3 MatchingUnitsTypes</v>
      </c>
    </row>
    <row r="78" spans="1:12" ht="38.25" x14ac:dyDescent="0.25">
      <c r="A78" s="22" t="s">
        <v>174</v>
      </c>
      <c r="C78" s="23" t="s">
        <v>174</v>
      </c>
      <c r="D78" s="23" t="str">
        <f t="shared" si="1"/>
        <v>eyesBase: getMatchLevel()</v>
      </c>
      <c r="E78" s="22" t="s">
        <v>208</v>
      </c>
      <c r="F78" s="22" t="s">
        <v>164</v>
      </c>
      <c r="G78" s="29" t="s">
        <v>298</v>
      </c>
      <c r="H78" s="29" t="s">
        <v>268</v>
      </c>
      <c r="I78" s="30" t="s">
        <v>97</v>
      </c>
      <c r="K78" s="22" t="str">
        <f>Concepts!$A$11</f>
        <v>ImageMatchSettings</v>
      </c>
    </row>
    <row r="79" spans="1:12" ht="102" x14ac:dyDescent="0.25">
      <c r="A79" s="22" t="s">
        <v>174</v>
      </c>
      <c r="C79" s="23" t="str">
        <f>Concepts!$B$31</f>
        <v>2_2 Match Levels</v>
      </c>
      <c r="D79" s="23" t="str">
        <f t="shared" si="1"/>
        <v xml:space="preserve">eyesBase: setMatchLevel() </v>
      </c>
      <c r="E79" s="22" t="s">
        <v>208</v>
      </c>
      <c r="F79" s="22" t="s">
        <v>243</v>
      </c>
      <c r="G79" s="24" t="s">
        <v>296</v>
      </c>
      <c r="H79" s="24" t="s">
        <v>297</v>
      </c>
      <c r="I79" s="25" t="s">
        <v>96</v>
      </c>
      <c r="K79" s="22" t="str">
        <f>Concepts!$A$11</f>
        <v>ImageMatchSettings</v>
      </c>
      <c r="L79" s="26" t="s">
        <v>229</v>
      </c>
    </row>
    <row r="80" spans="1:12" ht="60" x14ac:dyDescent="0.25">
      <c r="A80" s="22" t="str">
        <f>groups!A5</f>
        <v>match_management</v>
      </c>
      <c r="C80" s="23" t="str">
        <f>Concepts!$B$37</f>
        <v>3_3 User Defined Properties</v>
      </c>
      <c r="D80" s="23" t="str">
        <f t="shared" si="1"/>
        <v xml:space="preserve">eyesBase: addProperty() </v>
      </c>
      <c r="E80" s="22" t="s">
        <v>208</v>
      </c>
      <c r="F80" s="22" t="s">
        <v>243</v>
      </c>
      <c r="G80" s="24" t="s">
        <v>306</v>
      </c>
      <c r="H80" s="24" t="s">
        <v>307</v>
      </c>
      <c r="I80" s="25" t="s">
        <v>104</v>
      </c>
      <c r="J80" s="22" t="s">
        <v>169</v>
      </c>
      <c r="L80" s="26" t="s">
        <v>231</v>
      </c>
    </row>
    <row r="81" spans="1:12" ht="30" x14ac:dyDescent="0.25">
      <c r="A81" s="22" t="str">
        <f>groups!$A$5</f>
        <v>match_management</v>
      </c>
      <c r="C81" s="23" t="str">
        <f>Concepts!B35</f>
        <v>3_1 Baselines</v>
      </c>
      <c r="D81" s="23" t="str">
        <f t="shared" si="1"/>
        <v xml:space="preserve">eyesBase: getAppName() </v>
      </c>
      <c r="E81" s="22" t="s">
        <v>208</v>
      </c>
      <c r="F81" s="22" t="s">
        <v>244</v>
      </c>
      <c r="G81" s="29" t="s">
        <v>257</v>
      </c>
      <c r="H81" s="29" t="s">
        <v>268</v>
      </c>
      <c r="I81" s="30" t="s">
        <v>83</v>
      </c>
    </row>
    <row r="82" spans="1:12" ht="30" x14ac:dyDescent="0.25">
      <c r="A82" s="22" t="str">
        <f>groups!$A$5</f>
        <v>match_management</v>
      </c>
      <c r="C82" s="23" t="str">
        <f>Concepts!$B$38</f>
        <v>3_4 Batches</v>
      </c>
      <c r="D82" s="23" t="str">
        <f t="shared" si="1"/>
        <v xml:space="preserve">eyesBase: getBatch() </v>
      </c>
      <c r="E82" s="22" t="s">
        <v>208</v>
      </c>
      <c r="F82" s="22" t="s">
        <v>247</v>
      </c>
      <c r="G82" s="29" t="s">
        <v>260</v>
      </c>
      <c r="H82" s="29"/>
      <c r="I82" s="30" t="s">
        <v>93</v>
      </c>
    </row>
    <row r="83" spans="1:12" ht="45" x14ac:dyDescent="0.25">
      <c r="A83" s="22" t="str">
        <f>groups!$A$5</f>
        <v>match_management</v>
      </c>
      <c r="C83" s="23" t="str">
        <f>Concepts!$B$36</f>
        <v>3_2 Branches</v>
      </c>
      <c r="D83" s="23" t="str">
        <f t="shared" si="1"/>
        <v xml:space="preserve">eyesBase: getParentBranchName() </v>
      </c>
      <c r="E83" s="22" t="s">
        <v>208</v>
      </c>
      <c r="F83" s="22" t="s">
        <v>244</v>
      </c>
      <c r="G83" s="29" t="s">
        <v>259</v>
      </c>
      <c r="H83" s="29" t="s">
        <v>268</v>
      </c>
      <c r="I83" s="30" t="s">
        <v>87</v>
      </c>
    </row>
    <row r="84" spans="1:12" ht="30" x14ac:dyDescent="0.25">
      <c r="A84" s="22" t="str">
        <f>groups!$A$5</f>
        <v>match_management</v>
      </c>
      <c r="C84" s="23" t="str">
        <f>Concepts!$B$35</f>
        <v>3_1 Baselines</v>
      </c>
      <c r="D84" s="23" t="str">
        <f t="shared" si="1"/>
        <v xml:space="preserve">eyesBase: getSaveFailedTests() </v>
      </c>
      <c r="E84" s="22" t="s">
        <v>208</v>
      </c>
      <c r="F84" s="22" t="s">
        <v>245</v>
      </c>
      <c r="G84" s="24" t="s">
        <v>565</v>
      </c>
      <c r="H84" s="24" t="s">
        <v>268</v>
      </c>
      <c r="I84" s="30" t="s">
        <v>91</v>
      </c>
      <c r="K84" s="22" t="str">
        <f>Concepts!A9</f>
        <v>test failure types</v>
      </c>
    </row>
    <row r="85" spans="1:12" ht="30" x14ac:dyDescent="0.25">
      <c r="A85" s="22" t="str">
        <f>groups!$A$5</f>
        <v>match_management</v>
      </c>
      <c r="C85" s="23" t="str">
        <f>Concepts!$B$35</f>
        <v>3_1 Baselines</v>
      </c>
      <c r="D85" s="23" t="str">
        <f t="shared" si="1"/>
        <v>eyesBase: getSaveNewTests()</v>
      </c>
      <c r="E85" s="22" t="s">
        <v>208</v>
      </c>
      <c r="F85" s="22" t="s">
        <v>245</v>
      </c>
      <c r="G85" s="24" t="s">
        <v>566</v>
      </c>
      <c r="H85" s="24" t="s">
        <v>268</v>
      </c>
      <c r="I85" s="30" t="s">
        <v>90</v>
      </c>
      <c r="J85" s="22" t="s">
        <v>151</v>
      </c>
    </row>
    <row r="86" spans="1:12" ht="30" x14ac:dyDescent="0.25">
      <c r="A86" s="22" t="str">
        <f>groups!$A$5</f>
        <v>match_management</v>
      </c>
      <c r="C86" s="23" t="str">
        <f>Concepts!$B$35</f>
        <v>3_1 Baselines</v>
      </c>
      <c r="D86" s="23" t="str">
        <f t="shared" si="1"/>
        <v xml:space="preserve">eyesBase: setAppName() </v>
      </c>
      <c r="E86" s="22" t="s">
        <v>208</v>
      </c>
      <c r="F86" s="22" t="s">
        <v>243</v>
      </c>
      <c r="G86" s="24" t="s">
        <v>278</v>
      </c>
      <c r="H86" s="24" t="s">
        <v>279</v>
      </c>
      <c r="I86" s="30" t="s">
        <v>624</v>
      </c>
      <c r="J86" s="22" t="s">
        <v>148</v>
      </c>
      <c r="K86" s="22" t="s">
        <v>219</v>
      </c>
    </row>
    <row r="87" spans="1:12" ht="51" x14ac:dyDescent="0.25">
      <c r="A87" s="22" t="str">
        <f>groups!$A$5</f>
        <v>match_management</v>
      </c>
      <c r="C87" s="23" t="str">
        <f>Concepts!$B$38</f>
        <v>3_4 Batches</v>
      </c>
      <c r="D87" s="23" t="str">
        <f t="shared" si="1"/>
        <v xml:space="preserve">eyesBase: setBatch() </v>
      </c>
      <c r="E87" s="22" t="s">
        <v>208</v>
      </c>
      <c r="F87" s="22" t="s">
        <v>243</v>
      </c>
      <c r="G87" s="24" t="s">
        <v>288</v>
      </c>
      <c r="H87" s="24" t="s">
        <v>289</v>
      </c>
      <c r="I87" s="25" t="s">
        <v>92</v>
      </c>
      <c r="J87" s="22" t="s">
        <v>158</v>
      </c>
      <c r="K87" s="22" t="str">
        <f>Concepts!A10</f>
        <v>batch</v>
      </c>
    </row>
    <row r="88" spans="1:12" ht="30" x14ac:dyDescent="0.25">
      <c r="A88" s="22" t="str">
        <f>groups!$A$5</f>
        <v>match_management</v>
      </c>
      <c r="C88" s="23" t="str">
        <f>Concepts!$B$35</f>
        <v>3_1 Baselines</v>
      </c>
      <c r="D88" s="23" t="str">
        <f t="shared" si="1"/>
        <v>eyesBase: setHostOS()</v>
      </c>
      <c r="E88" s="22" t="s">
        <v>208</v>
      </c>
      <c r="F88" s="22" t="s">
        <v>243</v>
      </c>
      <c r="G88" s="24" t="s">
        <v>318</v>
      </c>
      <c r="H88" s="24" t="s">
        <v>319</v>
      </c>
      <c r="I88" s="42" t="s">
        <v>626</v>
      </c>
      <c r="J88" s="22" t="s">
        <v>625</v>
      </c>
      <c r="L88" s="26" t="s">
        <v>233</v>
      </c>
    </row>
    <row r="89" spans="1:12" ht="51" x14ac:dyDescent="0.25">
      <c r="A89" s="22" t="str">
        <f>groups!$A$5</f>
        <v>match_management</v>
      </c>
      <c r="C89" s="23" t="str">
        <f>Concepts!$B$35</f>
        <v>3_1 Baselines</v>
      </c>
      <c r="D89" s="23" t="str">
        <f t="shared" si="1"/>
        <v xml:space="preserve">eyesBase: setSaveNewTests() </v>
      </c>
      <c r="E89" s="22" t="s">
        <v>208</v>
      </c>
      <c r="F89" s="22" t="s">
        <v>243</v>
      </c>
      <c r="G89" s="24" t="s">
        <v>285</v>
      </c>
      <c r="H89" s="24" t="s">
        <v>286</v>
      </c>
      <c r="I89" s="25" t="s">
        <v>630</v>
      </c>
      <c r="J89" s="22" t="s">
        <v>629</v>
      </c>
      <c r="L89" s="26" t="s">
        <v>225</v>
      </c>
    </row>
    <row r="90" spans="1:12" ht="75" x14ac:dyDescent="0.25">
      <c r="A90" s="22" t="str">
        <f>groups!$A$5</f>
        <v>match_management</v>
      </c>
      <c r="C90" s="23" t="str">
        <f>Concepts!$B$35</f>
        <v>3_1 Baselines</v>
      </c>
      <c r="D90" s="23" t="str">
        <f t="shared" si="1"/>
        <v xml:space="preserve">eyesBase:getBaselineEnvName() </v>
      </c>
      <c r="E90" s="22" t="s">
        <v>208</v>
      </c>
      <c r="G90" s="29" t="s">
        <v>422</v>
      </c>
      <c r="H90" s="29" t="s">
        <v>268</v>
      </c>
      <c r="I90" s="25" t="s">
        <v>119</v>
      </c>
      <c r="J90" s="22" t="s">
        <v>175</v>
      </c>
      <c r="K90" s="22" t="str">
        <f>Concepts!$A$14</f>
        <v>Baseline</v>
      </c>
      <c r="L90" s="26" t="s">
        <v>234</v>
      </c>
    </row>
    <row r="91" spans="1:12" ht="30" x14ac:dyDescent="0.25">
      <c r="A91" s="22" t="str">
        <f>groups!$A$5</f>
        <v>match_management</v>
      </c>
      <c r="C91" s="23" t="str">
        <f>Concepts!$B$36</f>
        <v>3_2 Branches</v>
      </c>
      <c r="D91" s="23" t="str">
        <f t="shared" si="1"/>
        <v xml:space="preserve">eyesBase:getBranchName() </v>
      </c>
      <c r="E91" s="22" t="s">
        <v>208</v>
      </c>
      <c r="F91" s="22" t="s">
        <v>244</v>
      </c>
      <c r="G91" s="29" t="s">
        <v>258</v>
      </c>
      <c r="H91" s="29" t="s">
        <v>268</v>
      </c>
      <c r="I91" s="30" t="s">
        <v>85</v>
      </c>
    </row>
    <row r="92" spans="1:12" ht="63.75" x14ac:dyDescent="0.25">
      <c r="A92" s="22" t="str">
        <f>groups!$A$5</f>
        <v>match_management</v>
      </c>
      <c r="C92" s="23" t="str">
        <f>Concepts!$B$35</f>
        <v>3_1 Baselines</v>
      </c>
      <c r="D92" s="23" t="str">
        <f t="shared" si="1"/>
        <v xml:space="preserve">eyesBase:getEnvName() </v>
      </c>
      <c r="E92" s="22" t="s">
        <v>208</v>
      </c>
      <c r="F92" s="22" t="s">
        <v>244</v>
      </c>
      <c r="G92" s="29" t="s">
        <v>423</v>
      </c>
      <c r="H92" s="29" t="s">
        <v>268</v>
      </c>
      <c r="I92" s="25" t="s">
        <v>121</v>
      </c>
      <c r="K92" s="22" t="s">
        <v>173</v>
      </c>
    </row>
    <row r="93" spans="1:12" ht="30" x14ac:dyDescent="0.25">
      <c r="A93" s="22" t="str">
        <f>groups!$A$5</f>
        <v>match_management</v>
      </c>
      <c r="C93" s="23" t="str">
        <f>Concepts!$B$35</f>
        <v>3_1 Baselines</v>
      </c>
      <c r="D93" s="23" t="str">
        <f t="shared" si="1"/>
        <v xml:space="preserve">eyesBase:getHostApp() </v>
      </c>
      <c r="E93" s="22" t="s">
        <v>208</v>
      </c>
      <c r="F93" s="22" t="s">
        <v>244</v>
      </c>
      <c r="G93" s="29" t="s">
        <v>420</v>
      </c>
      <c r="H93" s="29" t="s">
        <v>268</v>
      </c>
      <c r="I93" s="28" t="s">
        <v>134</v>
      </c>
    </row>
    <row r="94" spans="1:12" ht="30" x14ac:dyDescent="0.25">
      <c r="A94" s="22" t="str">
        <f>groups!$A$5</f>
        <v>match_management</v>
      </c>
      <c r="C94" s="23" t="str">
        <f>Concepts!$B$35</f>
        <v>3_1 Baselines</v>
      </c>
      <c r="D94" s="23" t="str">
        <f t="shared" si="1"/>
        <v xml:space="preserve">eyesBase:getHostOS() </v>
      </c>
      <c r="E94" s="22" t="s">
        <v>208</v>
      </c>
      <c r="F94" s="22" t="s">
        <v>244</v>
      </c>
      <c r="G94" s="29" t="s">
        <v>419</v>
      </c>
      <c r="H94" s="29" t="s">
        <v>268</v>
      </c>
      <c r="I94" s="28" t="s">
        <v>133</v>
      </c>
    </row>
    <row r="95" spans="1:12" ht="102" x14ac:dyDescent="0.25">
      <c r="A95" s="22" t="str">
        <f>groups!$A$5</f>
        <v>match_management</v>
      </c>
      <c r="C95" s="23" t="str">
        <f>Concepts!$B$36</f>
        <v>3_2 Branches</v>
      </c>
      <c r="D95" s="23" t="str">
        <f t="shared" si="1"/>
        <v xml:space="preserve">eyesBase:setBranchName() </v>
      </c>
      <c r="E95" s="22" t="s">
        <v>208</v>
      </c>
      <c r="F95" s="22" t="s">
        <v>243</v>
      </c>
      <c r="G95" s="24" t="s">
        <v>280</v>
      </c>
      <c r="H95" s="24" t="s">
        <v>281</v>
      </c>
      <c r="I95" s="25" t="s">
        <v>84</v>
      </c>
      <c r="K95" s="22" t="s">
        <v>145</v>
      </c>
    </row>
    <row r="96" spans="1:12" ht="60" x14ac:dyDescent="0.25">
      <c r="A96" s="22" t="str">
        <f>groups!$A$5</f>
        <v>match_management</v>
      </c>
      <c r="C96" s="23" t="str">
        <f>Concepts!$B$35</f>
        <v>3_1 Baselines</v>
      </c>
      <c r="D96" s="23" t="str">
        <f t="shared" si="1"/>
        <v xml:space="preserve">eyesBase:setEnvName() </v>
      </c>
      <c r="E96" s="22" t="s">
        <v>208</v>
      </c>
      <c r="F96" s="22" t="s">
        <v>243</v>
      </c>
      <c r="G96" s="29" t="s">
        <v>324</v>
      </c>
      <c r="H96" s="29" t="s">
        <v>325</v>
      </c>
      <c r="I96" s="25" t="s">
        <v>120</v>
      </c>
      <c r="J96" s="22" t="s">
        <v>628</v>
      </c>
      <c r="K96" s="22" t="s">
        <v>173</v>
      </c>
    </row>
    <row r="97" spans="1:12" ht="45" x14ac:dyDescent="0.25">
      <c r="A97" s="22" t="str">
        <f>groups!$A$5</f>
        <v>match_management</v>
      </c>
      <c r="C97" s="23" t="str">
        <f>Concepts!$B$35</f>
        <v>3_1 Baselines</v>
      </c>
      <c r="D97" s="23" t="str">
        <f t="shared" si="1"/>
        <v xml:space="preserve">eyesBase:setHostApp() </v>
      </c>
      <c r="E97" s="22" t="s">
        <v>208</v>
      </c>
      <c r="F97" s="22" t="s">
        <v>243</v>
      </c>
      <c r="G97" s="29" t="s">
        <v>320</v>
      </c>
      <c r="H97" s="29" t="s">
        <v>321</v>
      </c>
      <c r="I97" s="28" t="s">
        <v>627</v>
      </c>
      <c r="J97" s="22" t="s">
        <v>172</v>
      </c>
    </row>
    <row r="98" spans="1:12" ht="38.25" x14ac:dyDescent="0.25">
      <c r="A98" s="22" t="str">
        <f>groups!$A$5</f>
        <v>match_management</v>
      </c>
      <c r="C98" s="23" t="str">
        <f>Concepts!$B$36</f>
        <v>3_2 Branches</v>
      </c>
      <c r="D98" s="23" t="str">
        <f t="shared" si="1"/>
        <v>eyesBase:setParentBranchName()</v>
      </c>
      <c r="E98" s="22" t="s">
        <v>208</v>
      </c>
      <c r="F98" s="22" t="s">
        <v>243</v>
      </c>
      <c r="G98" s="24" t="s">
        <v>282</v>
      </c>
      <c r="H98" s="24" t="s">
        <v>281</v>
      </c>
      <c r="I98" s="25" t="s">
        <v>86</v>
      </c>
    </row>
    <row r="99" spans="1:12" ht="60" x14ac:dyDescent="0.25">
      <c r="A99" s="22" t="str">
        <f>groups!$A$5</f>
        <v>match_management</v>
      </c>
      <c r="C99" s="23" t="str">
        <f>Concepts!$B$35</f>
        <v>3_1 Baselines</v>
      </c>
      <c r="D99" s="23" t="str">
        <f t="shared" si="1"/>
        <v xml:space="preserve">eyesBase:setSaveFailedTests() </v>
      </c>
      <c r="E99" s="22" t="s">
        <v>208</v>
      </c>
      <c r="F99" s="22" t="s">
        <v>243</v>
      </c>
      <c r="G99" s="24" t="s">
        <v>417</v>
      </c>
      <c r="H99" s="24" t="s">
        <v>287</v>
      </c>
      <c r="I99" s="25" t="s">
        <v>631</v>
      </c>
      <c r="J99" s="22" t="s">
        <v>149</v>
      </c>
      <c r="L99" s="26" t="s">
        <v>226</v>
      </c>
    </row>
    <row r="100" spans="1:12" ht="45" x14ac:dyDescent="0.25">
      <c r="A100" s="22" t="str">
        <f>groups!A7</f>
        <v>match_tuning</v>
      </c>
      <c r="C100" s="23" t="str">
        <f>Concepts!$B$31</f>
        <v>2_2 Match Levels</v>
      </c>
      <c r="D100" s="23" t="str">
        <f t="shared" si="1"/>
        <v xml:space="preserve">eyesBase: getDefaultMatchSettings() </v>
      </c>
      <c r="E100" s="22" t="s">
        <v>208</v>
      </c>
      <c r="F100" s="22" t="s">
        <v>162</v>
      </c>
      <c r="G100" s="35" t="s">
        <v>295</v>
      </c>
      <c r="H100" s="35" t="s">
        <v>294</v>
      </c>
      <c r="I100" s="30" t="s">
        <v>644</v>
      </c>
      <c r="K100" s="22" t="str">
        <f>Concepts!$A$11</f>
        <v>ImageMatchSettings</v>
      </c>
    </row>
    <row r="101" spans="1:12" ht="30" x14ac:dyDescent="0.25">
      <c r="A101" s="22" t="str">
        <f>groups!$A$7</f>
        <v>match_tuning</v>
      </c>
      <c r="C101" s="23" t="str">
        <f>Concepts!$B$33</f>
        <v>2_4 Match Filtering</v>
      </c>
      <c r="D101" s="23" t="str">
        <f t="shared" si="1"/>
        <v xml:space="preserve">eyesBase: getIgnoreCaret() </v>
      </c>
      <c r="E101" s="22" t="s">
        <v>208</v>
      </c>
      <c r="F101" s="22" t="s">
        <v>245</v>
      </c>
      <c r="G101" s="24" t="s">
        <v>567</v>
      </c>
      <c r="H101" s="24" t="s">
        <v>268</v>
      </c>
      <c r="I101" s="30" t="s">
        <v>109</v>
      </c>
    </row>
    <row r="102" spans="1:12" ht="105" x14ac:dyDescent="0.25">
      <c r="A102" s="22" t="str">
        <f>groups!$A$7</f>
        <v>match_tuning</v>
      </c>
      <c r="C102" s="23" t="str">
        <f>Concepts!$B$31</f>
        <v>2_2 Match Levels</v>
      </c>
      <c r="D102" s="23" t="str">
        <f t="shared" si="1"/>
        <v xml:space="preserve">eyesBase: setDefaultMatchSettings() 
</v>
      </c>
      <c r="E102" s="22" t="s">
        <v>208</v>
      </c>
      <c r="F102" s="22" t="s">
        <v>243</v>
      </c>
      <c r="G102" s="35" t="s">
        <v>293</v>
      </c>
      <c r="H102" s="35" t="s">
        <v>162</v>
      </c>
      <c r="I102" s="25" t="s">
        <v>95</v>
      </c>
      <c r="J102" s="22" t="s">
        <v>163</v>
      </c>
      <c r="K102" s="22" t="str">
        <f>Concepts!$A$11</f>
        <v>ImageMatchSettings</v>
      </c>
      <c r="L102" s="26" t="s">
        <v>228</v>
      </c>
    </row>
    <row r="103" spans="1:12" ht="30" x14ac:dyDescent="0.25">
      <c r="A103" s="31" t="str">
        <f>groups!$A$7</f>
        <v>match_tuning</v>
      </c>
      <c r="B103" s="32"/>
      <c r="C103" s="23" t="str">
        <f>Concepts!$B$33</f>
        <v>2_4 Match Filtering</v>
      </c>
      <c r="D103" s="23" t="str">
        <f t="shared" si="1"/>
        <v>eyes:getHideScrollbars()</v>
      </c>
      <c r="E103" s="22" t="s">
        <v>209</v>
      </c>
      <c r="F103" s="22" t="s">
        <v>245</v>
      </c>
      <c r="G103" s="27" t="s">
        <v>438</v>
      </c>
      <c r="H103" s="27" t="s">
        <v>268</v>
      </c>
      <c r="I103" s="27" t="s">
        <v>568</v>
      </c>
    </row>
    <row r="104" spans="1:12" ht="30" x14ac:dyDescent="0.25">
      <c r="A104" s="31" t="str">
        <f>groups!$A$7</f>
        <v>match_tuning</v>
      </c>
      <c r="B104" s="32"/>
      <c r="C104" s="32" t="str">
        <f>Concepts!$B$42</f>
        <v>4_1 Screenshot Configuration</v>
      </c>
      <c r="D104" s="23" t="str">
        <f t="shared" si="1"/>
        <v>eyes:getRotation()</v>
      </c>
      <c r="E104" s="22" t="s">
        <v>209</v>
      </c>
      <c r="F104" s="22" t="s">
        <v>0</v>
      </c>
      <c r="G104" s="27" t="s">
        <v>439</v>
      </c>
      <c r="H104" s="27" t="s">
        <v>268</v>
      </c>
      <c r="I104" s="27" t="s">
        <v>569</v>
      </c>
    </row>
    <row r="105" spans="1:12" ht="30" x14ac:dyDescent="0.25">
      <c r="A105" s="31" t="str">
        <f>groups!$A$7</f>
        <v>match_tuning</v>
      </c>
      <c r="B105" s="32"/>
      <c r="C105" s="23" t="str">
        <f>Concepts!$B$33</f>
        <v>2_4 Match Filtering</v>
      </c>
      <c r="D105" s="23" t="str">
        <f t="shared" si="1"/>
        <v>eyes:setHideScrollbars()</v>
      </c>
      <c r="E105" s="22" t="s">
        <v>209</v>
      </c>
      <c r="F105" s="22" t="s">
        <v>243</v>
      </c>
      <c r="G105" s="29" t="s">
        <v>336</v>
      </c>
      <c r="H105" s="36" t="s">
        <v>570</v>
      </c>
      <c r="I105" s="27" t="s">
        <v>7</v>
      </c>
    </row>
    <row r="106" spans="1:12" ht="38.25" x14ac:dyDescent="0.25">
      <c r="A106" s="22" t="str">
        <f>groups!$A$7</f>
        <v>match_tuning</v>
      </c>
      <c r="C106" s="23" t="str">
        <f>Concepts!$B$33</f>
        <v>2_4 Match Filtering</v>
      </c>
      <c r="D106" s="23" t="str">
        <f t="shared" si="1"/>
        <v xml:space="preserve">eyesBase:setIgnoreCaret() </v>
      </c>
      <c r="E106" s="22" t="s">
        <v>208</v>
      </c>
      <c r="F106" s="22" t="s">
        <v>243</v>
      </c>
      <c r="G106" s="24" t="s">
        <v>418</v>
      </c>
      <c r="H106" s="24" t="s">
        <v>314</v>
      </c>
      <c r="I106" s="25" t="s">
        <v>110</v>
      </c>
      <c r="J106" s="34" t="s">
        <v>111</v>
      </c>
    </row>
    <row r="107" spans="1:12" ht="30" x14ac:dyDescent="0.25">
      <c r="A107" s="31" t="str">
        <f>groups!$A$7</f>
        <v>match_tuning</v>
      </c>
      <c r="B107" s="32"/>
      <c r="C107" s="32" t="str">
        <f>Concepts!$B$42</f>
        <v>4_1 Screenshot Configuration</v>
      </c>
      <c r="D107" s="23" t="str">
        <f t="shared" si="1"/>
        <v>eyes:setRotation()</v>
      </c>
      <c r="E107" s="22" t="s">
        <v>209</v>
      </c>
      <c r="F107" s="22" t="s">
        <v>243</v>
      </c>
      <c r="G107" s="27" t="s">
        <v>440</v>
      </c>
      <c r="H107" s="27" t="s">
        <v>337</v>
      </c>
      <c r="I107" s="27" t="s">
        <v>571</v>
      </c>
      <c r="L107" s="26" t="s">
        <v>459</v>
      </c>
    </row>
    <row r="108" spans="1:12" ht="30" x14ac:dyDescent="0.25">
      <c r="A108" s="22" t="str">
        <f>groups!$A$3</f>
        <v>platform control</v>
      </c>
      <c r="C108" s="23" t="str">
        <f>Concepts!$B$44</f>
        <v>4_3 Client Debug Environment</v>
      </c>
      <c r="D108" s="23" t="str">
        <f t="shared" si="1"/>
        <v xml:space="preserve">eyesBase: getLogHandler() </v>
      </c>
      <c r="E108" s="22" t="s">
        <v>208</v>
      </c>
      <c r="F108" s="22" t="s">
        <v>179</v>
      </c>
      <c r="G108" s="29" t="s">
        <v>301</v>
      </c>
      <c r="H108" s="29" t="s">
        <v>268</v>
      </c>
      <c r="I108" s="30" t="s">
        <v>100</v>
      </c>
    </row>
    <row r="109" spans="1:12" ht="38.25" x14ac:dyDescent="0.25">
      <c r="A109" s="22" t="str">
        <f>groups!$A$3</f>
        <v>platform control</v>
      </c>
      <c r="C109" s="23" t="str">
        <f>Concepts!$B$45</f>
        <v>4_4 Server Access Configuration</v>
      </c>
      <c r="D109" s="23" t="str">
        <f t="shared" si="1"/>
        <v>eyesBase: getProxy()</v>
      </c>
      <c r="E109" s="22" t="s">
        <v>208</v>
      </c>
      <c r="F109" s="22" t="s">
        <v>141</v>
      </c>
      <c r="G109" s="29" t="s">
        <v>275</v>
      </c>
      <c r="H109" s="29" t="s">
        <v>268</v>
      </c>
      <c r="I109" s="30" t="s">
        <v>79</v>
      </c>
      <c r="K109" s="22" t="str">
        <f>Concepts!$A$17</f>
        <v>Eyes Server</v>
      </c>
    </row>
    <row r="110" spans="1:12" ht="30" x14ac:dyDescent="0.25">
      <c r="A110" s="22" t="str">
        <f>groups!$A$3</f>
        <v>platform control</v>
      </c>
      <c r="C110" s="23" t="str">
        <f>Concepts!$B$45</f>
        <v>4_4 Server Access Configuration</v>
      </c>
      <c r="D110" s="23" t="str">
        <f t="shared" si="1"/>
        <v>eyesBase: getServerUrl()</v>
      </c>
      <c r="E110" s="22" t="s">
        <v>208</v>
      </c>
      <c r="F110" s="22" t="s">
        <v>178</v>
      </c>
      <c r="G110" s="29" t="s">
        <v>256</v>
      </c>
      <c r="H110" s="29" t="s">
        <v>268</v>
      </c>
      <c r="I110" s="28" t="s">
        <v>132</v>
      </c>
      <c r="J110" s="22" t="s">
        <v>137</v>
      </c>
      <c r="K110" s="22" t="str">
        <f>Concepts!$A$17</f>
        <v>Eyes Server</v>
      </c>
    </row>
    <row r="111" spans="1:12" ht="30" x14ac:dyDescent="0.25">
      <c r="A111" s="37" t="str">
        <f>groups!$A$3</f>
        <v>platform control</v>
      </c>
      <c r="B111" s="38"/>
      <c r="C111" s="32" t="str">
        <f>Concepts!$B$42</f>
        <v>4_1 Screenshot Configuration</v>
      </c>
      <c r="D111" s="23" t="str">
        <f t="shared" si="1"/>
        <v xml:space="preserve">eyesBase: getStitchOverlap() </v>
      </c>
      <c r="E111" s="22" t="s">
        <v>208</v>
      </c>
      <c r="F111" s="22" t="s">
        <v>246</v>
      </c>
      <c r="G111" s="24" t="s">
        <v>572</v>
      </c>
      <c r="H111" s="24" t="s">
        <v>268</v>
      </c>
      <c r="I111" s="30" t="s">
        <v>112</v>
      </c>
    </row>
    <row r="112" spans="1:12" ht="45" x14ac:dyDescent="0.25">
      <c r="A112" s="22" t="str">
        <f>groups!$A$3</f>
        <v>platform control</v>
      </c>
      <c r="C112" s="32" t="str">
        <f>Concepts!$B$42</f>
        <v>4_1 Screenshot Configuration</v>
      </c>
      <c r="D112" s="23" t="str">
        <f t="shared" si="1"/>
        <v>eyes: getViewportSize(</v>
      </c>
      <c r="E112" s="22" t="s">
        <v>209</v>
      </c>
      <c r="F112" s="22" t="s">
        <v>1</v>
      </c>
      <c r="G112" s="27" t="s">
        <v>454</v>
      </c>
      <c r="H112" s="27" t="s">
        <v>414</v>
      </c>
      <c r="I112" s="39" t="s">
        <v>573</v>
      </c>
      <c r="J112" s="22" t="s">
        <v>150</v>
      </c>
    </row>
    <row r="113" spans="1:12" ht="51" x14ac:dyDescent="0.25">
      <c r="A113" s="22" t="str">
        <f>groups!$A$3</f>
        <v>platform control</v>
      </c>
      <c r="C113" s="23" t="str">
        <f>Concepts!$B$45</f>
        <v>4_4 Server Access Configuration</v>
      </c>
      <c r="D113" s="23" t="str">
        <f t="shared" si="1"/>
        <v xml:space="preserve">eyesBase: setProxy() </v>
      </c>
      <c r="E113" s="22" t="s">
        <v>208</v>
      </c>
      <c r="F113" s="22" t="s">
        <v>243</v>
      </c>
      <c r="G113" s="24" t="s">
        <v>273</v>
      </c>
      <c r="H113" s="24" t="s">
        <v>274</v>
      </c>
      <c r="I113" s="25" t="s">
        <v>78</v>
      </c>
      <c r="J113" s="22" t="s">
        <v>137</v>
      </c>
      <c r="K113" s="22" t="str">
        <f>Concepts!$A$17</f>
        <v>Eyes Server</v>
      </c>
      <c r="L113" s="26" t="s">
        <v>223</v>
      </c>
    </row>
    <row r="114" spans="1:12" ht="105" x14ac:dyDescent="0.25">
      <c r="A114" s="22" t="str">
        <f>groups!$A$3</f>
        <v>platform control</v>
      </c>
      <c r="C114" s="23" t="str">
        <f>Concepts!$B$45</f>
        <v>4_4 Server Access Configuration</v>
      </c>
      <c r="D114" s="23" t="str">
        <f t="shared" si="1"/>
        <v xml:space="preserve">eyesBase: setServerUrl() </v>
      </c>
      <c r="E114" s="22" t="s">
        <v>208</v>
      </c>
      <c r="F114" s="22" t="s">
        <v>243</v>
      </c>
      <c r="G114" s="24" t="s">
        <v>271</v>
      </c>
      <c r="H114" s="24" t="s">
        <v>272</v>
      </c>
      <c r="I114" s="25" t="s">
        <v>136</v>
      </c>
      <c r="J114" s="22" t="s">
        <v>203</v>
      </c>
      <c r="K114" s="22" t="str">
        <f>Concepts!$A$17</f>
        <v>Eyes Server</v>
      </c>
      <c r="L114" s="26" t="s">
        <v>222</v>
      </c>
    </row>
    <row r="115" spans="1:12" ht="38.25" x14ac:dyDescent="0.25">
      <c r="A115" s="37" t="str">
        <f>groups!$A$3</f>
        <v>platform control</v>
      </c>
      <c r="C115" s="32" t="str">
        <f>Concepts!$B$42</f>
        <v>4_1 Screenshot Configuration</v>
      </c>
      <c r="D115" s="23" t="str">
        <f t="shared" si="1"/>
        <v xml:space="preserve">eyesBase: setStitchOverlap() </v>
      </c>
      <c r="E115" s="22" t="s">
        <v>208</v>
      </c>
      <c r="F115" s="22" t="s">
        <v>243</v>
      </c>
      <c r="G115" s="24" t="s">
        <v>315</v>
      </c>
      <c r="H115" s="24" t="s">
        <v>316</v>
      </c>
      <c r="I115" s="25" t="s">
        <v>113</v>
      </c>
    </row>
    <row r="116" spans="1:12" ht="30" x14ac:dyDescent="0.25">
      <c r="A116" s="22" t="str">
        <f>groups!$A$3</f>
        <v>platform control</v>
      </c>
      <c r="C116" s="32" t="str">
        <f>Concepts!$B$42</f>
        <v>4_1 Screenshot Configuration</v>
      </c>
      <c r="D116" s="23" t="str">
        <f t="shared" si="1"/>
        <v>eyes:getScrollToRegion()</v>
      </c>
      <c r="E116" s="22" t="s">
        <v>209</v>
      </c>
      <c r="F116" s="22" t="s">
        <v>245</v>
      </c>
      <c r="G116" s="27" t="s">
        <v>435</v>
      </c>
      <c r="H116" s="27" t="s">
        <v>268</v>
      </c>
      <c r="I116" s="27" t="s">
        <v>574</v>
      </c>
    </row>
    <row r="117" spans="1:12" ht="30" x14ac:dyDescent="0.25">
      <c r="A117" s="22" t="str">
        <f>groups!$A$3</f>
        <v>platform control</v>
      </c>
      <c r="C117" s="32" t="str">
        <f>Concepts!$B$42</f>
        <v>4_1 Screenshot Configuration</v>
      </c>
      <c r="D117" s="23" t="str">
        <f t="shared" si="1"/>
        <v>eyes:getStitchMode()</v>
      </c>
      <c r="E117" s="22" t="s">
        <v>209</v>
      </c>
      <c r="F117" s="22" t="s">
        <v>251</v>
      </c>
      <c r="G117" s="27" t="s">
        <v>437</v>
      </c>
      <c r="H117" s="27" t="s">
        <v>268</v>
      </c>
      <c r="I117" s="27" t="s">
        <v>575</v>
      </c>
    </row>
    <row r="118" spans="1:12" ht="30" x14ac:dyDescent="0.25">
      <c r="A118" s="22" t="str">
        <f>groups!$A$3</f>
        <v>platform control</v>
      </c>
      <c r="C118" s="32" t="str">
        <f>Concepts!$B$42</f>
        <v>4_1 Screenshot Configuration</v>
      </c>
      <c r="D118" s="23" t="str">
        <f t="shared" si="1"/>
        <v>eyes:getViewportSize()</v>
      </c>
      <c r="E118" s="22" t="s">
        <v>209</v>
      </c>
      <c r="F118" s="22" t="s">
        <v>1</v>
      </c>
      <c r="G118" s="40" t="s">
        <v>453</v>
      </c>
      <c r="H118" s="40" t="s">
        <v>268</v>
      </c>
      <c r="I118" s="22" t="s">
        <v>16</v>
      </c>
    </row>
    <row r="119" spans="1:12" ht="45" x14ac:dyDescent="0.25">
      <c r="A119" s="22" t="str">
        <f>groups!$A$3</f>
        <v>platform control</v>
      </c>
      <c r="C119" s="23" t="str">
        <f>Concepts!$B$43</f>
        <v>4_2 Timing and Performance Considerations</v>
      </c>
      <c r="D119" s="23" t="str">
        <f t="shared" si="1"/>
        <v>eyes:getWaitBeforeScreenshots()</v>
      </c>
      <c r="E119" s="22" t="s">
        <v>209</v>
      </c>
      <c r="F119" s="22" t="s">
        <v>246</v>
      </c>
      <c r="G119" s="27" t="s">
        <v>433</v>
      </c>
      <c r="H119" s="27" t="s">
        <v>268</v>
      </c>
      <c r="I119" s="22" t="s">
        <v>5</v>
      </c>
    </row>
    <row r="120" spans="1:12" ht="60" x14ac:dyDescent="0.25">
      <c r="A120" s="22" t="str">
        <f>groups!A3</f>
        <v>platform control</v>
      </c>
      <c r="C120" s="23" t="str">
        <f>Concepts!$B$33</f>
        <v>2_4 Match Filtering</v>
      </c>
      <c r="D120" s="23" t="str">
        <f t="shared" si="1"/>
        <v>eyesBase:setImageCut()</v>
      </c>
      <c r="E120" s="22" t="s">
        <v>208</v>
      </c>
      <c r="F120" s="22" t="s">
        <v>243</v>
      </c>
      <c r="G120" s="29" t="s">
        <v>302</v>
      </c>
      <c r="H120" s="29" t="s">
        <v>303</v>
      </c>
      <c r="I120" s="25" t="s">
        <v>101</v>
      </c>
      <c r="J120" s="22" t="s">
        <v>167</v>
      </c>
      <c r="L120" s="26" t="s">
        <v>230</v>
      </c>
    </row>
    <row r="121" spans="1:12" ht="38.25" x14ac:dyDescent="0.25">
      <c r="A121" s="22" t="str">
        <f>groups!A3</f>
        <v>platform control</v>
      </c>
      <c r="C121" s="23" t="str">
        <f>Concepts!$B$44</f>
        <v>4_3 Client Debug Environment</v>
      </c>
      <c r="D121" s="23" t="str">
        <f t="shared" si="1"/>
        <v>eyesBase:setLogHandler()</v>
      </c>
      <c r="E121" s="22" t="s">
        <v>208</v>
      </c>
      <c r="F121" s="22" t="s">
        <v>243</v>
      </c>
      <c r="G121" s="29" t="s">
        <v>299</v>
      </c>
      <c r="H121" s="29" t="s">
        <v>300</v>
      </c>
      <c r="I121" s="25" t="s">
        <v>99</v>
      </c>
    </row>
    <row r="122" spans="1:12" ht="51" x14ac:dyDescent="0.25">
      <c r="A122" s="22" t="str">
        <f>groups!$A$3</f>
        <v>platform control</v>
      </c>
      <c r="C122" s="32" t="str">
        <f>Concepts!$B$42</f>
        <v>4_1 Screenshot Configuration</v>
      </c>
      <c r="D122" s="23" t="str">
        <f t="shared" si="1"/>
        <v>eyes:setScrollToRegion()</v>
      </c>
      <c r="E122" s="22" t="s">
        <v>209</v>
      </c>
      <c r="F122" s="22" t="s">
        <v>243</v>
      </c>
      <c r="G122" s="27" t="s">
        <v>434</v>
      </c>
      <c r="H122" s="27" t="s">
        <v>335</v>
      </c>
      <c r="I122" s="27" t="s">
        <v>6</v>
      </c>
      <c r="J122" s="22" t="s">
        <v>192</v>
      </c>
    </row>
    <row r="123" spans="1:12" ht="51" x14ac:dyDescent="0.25">
      <c r="A123" s="22" t="str">
        <f>groups!$A$3</f>
        <v>platform control</v>
      </c>
      <c r="C123" s="32" t="str">
        <f>Concepts!$B$42</f>
        <v>4_1 Screenshot Configuration</v>
      </c>
      <c r="D123" s="23" t="str">
        <f t="shared" si="1"/>
        <v>eyes:setStitchMode()</v>
      </c>
      <c r="E123" s="22" t="s">
        <v>209</v>
      </c>
      <c r="F123" s="22" t="s">
        <v>243</v>
      </c>
      <c r="G123" s="27" t="s">
        <v>436</v>
      </c>
      <c r="H123" s="27" t="s">
        <v>193</v>
      </c>
      <c r="I123" s="27" t="s">
        <v>195</v>
      </c>
    </row>
    <row r="124" spans="1:12" ht="63.75" x14ac:dyDescent="0.25">
      <c r="A124" s="22" t="str">
        <f>groups!$A$3</f>
        <v>platform control</v>
      </c>
      <c r="C124" s="23" t="str">
        <f>Concepts!$B$43</f>
        <v>4_2 Timing and Performance Considerations</v>
      </c>
      <c r="D124" s="23" t="str">
        <f t="shared" si="1"/>
        <v>eyes:setWaitBeforeScreenshots()</v>
      </c>
      <c r="E124" s="22" t="s">
        <v>209</v>
      </c>
      <c r="F124" s="22" t="s">
        <v>243</v>
      </c>
      <c r="G124" s="27" t="s">
        <v>432</v>
      </c>
      <c r="H124" s="27" t="s">
        <v>334</v>
      </c>
      <c r="I124" s="27" t="s">
        <v>4</v>
      </c>
      <c r="J124" s="22" t="s">
        <v>192</v>
      </c>
      <c r="L124" s="26" t="s">
        <v>236</v>
      </c>
    </row>
    <row r="125" spans="1:12" ht="30" x14ac:dyDescent="0.25">
      <c r="A125" s="37" t="str">
        <f>groups!$A$3</f>
        <v>platform control</v>
      </c>
      <c r="C125" s="32" t="s">
        <v>221</v>
      </c>
      <c r="D125" s="23" t="str">
        <f t="shared" si="1"/>
        <v xml:space="preserve">eyes:shouldStitchContent() </v>
      </c>
      <c r="E125" s="22" t="s">
        <v>209</v>
      </c>
      <c r="F125" s="22" t="s">
        <v>245</v>
      </c>
      <c r="G125" s="33" t="s">
        <v>426</v>
      </c>
      <c r="H125" s="33" t="s">
        <v>268</v>
      </c>
      <c r="I125" s="34" t="s">
        <v>70</v>
      </c>
    </row>
    <row r="126" spans="1:12" ht="105" x14ac:dyDescent="0.25">
      <c r="A126" s="22" t="str">
        <f>groups!$A$3</f>
        <v>platform control</v>
      </c>
      <c r="C126" s="32" t="str">
        <f>Concepts!$B$42</f>
        <v>4_1 Screenshot Configuration</v>
      </c>
      <c r="D126" s="23" t="str">
        <f t="shared" si="1"/>
        <v>eyes:staticsetViewportSize()</v>
      </c>
      <c r="E126" s="22" t="s">
        <v>209</v>
      </c>
      <c r="F126" s="22" t="s">
        <v>243</v>
      </c>
      <c r="G126" s="27" t="s">
        <v>455</v>
      </c>
      <c r="H126" s="27" t="s">
        <v>415</v>
      </c>
      <c r="I126" s="22" t="s">
        <v>15</v>
      </c>
      <c r="L126" s="26" t="s">
        <v>242</v>
      </c>
    </row>
    <row r="127" spans="1:12" ht="75" x14ac:dyDescent="0.25">
      <c r="A127" s="31" t="str">
        <f>groups!$A$8</f>
        <v>playbackControl</v>
      </c>
      <c r="B127" s="32"/>
      <c r="C127" s="32" t="str">
        <f>Concepts!$B$39</f>
        <v>3_5 Trigger Information</v>
      </c>
      <c r="D127" s="23" t="str">
        <f t="shared" si="1"/>
        <v>eyes:addMouseTrigger()</v>
      </c>
      <c r="E127" s="22" t="s">
        <v>209</v>
      </c>
      <c r="F127" s="22" t="s">
        <v>243</v>
      </c>
      <c r="G127" s="27" t="s">
        <v>451</v>
      </c>
      <c r="H127" s="27" t="s">
        <v>410</v>
      </c>
      <c r="I127" s="22" t="s">
        <v>20</v>
      </c>
      <c r="J127" s="22" t="s">
        <v>632</v>
      </c>
      <c r="L127" s="26" t="s">
        <v>241</v>
      </c>
    </row>
    <row r="128" spans="1:12" ht="45" x14ac:dyDescent="0.25">
      <c r="A128" s="22" t="str">
        <f>groups!$A$8</f>
        <v>playbackControl</v>
      </c>
      <c r="C128" s="32" t="str">
        <f>Concepts!$B$39</f>
        <v>3_5 Trigger Information</v>
      </c>
      <c r="D128" s="23" t="str">
        <f t="shared" si="1"/>
        <v>eyes:addMouseTrigger()</v>
      </c>
      <c r="E128" s="22" t="s">
        <v>209</v>
      </c>
      <c r="F128" s="22" t="s">
        <v>243</v>
      </c>
      <c r="G128" s="27" t="s">
        <v>451</v>
      </c>
      <c r="H128" s="27" t="s">
        <v>411</v>
      </c>
      <c r="I128" s="22" t="s">
        <v>19</v>
      </c>
      <c r="J128" s="22" t="s">
        <v>632</v>
      </c>
    </row>
    <row r="129" spans="1:12" ht="45" x14ac:dyDescent="0.25">
      <c r="A129" s="22" t="str">
        <f>groups!$A$8</f>
        <v>playbackControl</v>
      </c>
      <c r="C129" s="32" t="str">
        <f>Concepts!$B$39</f>
        <v>3_5 Trigger Information</v>
      </c>
      <c r="D129" s="23" t="str">
        <f t="shared" si="1"/>
        <v>eyes:addTextTrigger()</v>
      </c>
      <c r="E129" s="22" t="s">
        <v>209</v>
      </c>
      <c r="F129" s="22" t="s">
        <v>243</v>
      </c>
      <c r="G129" s="27" t="s">
        <v>452</v>
      </c>
      <c r="H129" s="27" t="s">
        <v>412</v>
      </c>
      <c r="I129" s="22" t="s">
        <v>18</v>
      </c>
      <c r="J129" s="22" t="s">
        <v>632</v>
      </c>
    </row>
    <row r="130" spans="1:12" ht="45" x14ac:dyDescent="0.25">
      <c r="A130" s="22" t="str">
        <f>groups!$A$8</f>
        <v>playbackControl</v>
      </c>
      <c r="C130" s="32" t="str">
        <f>Concepts!$B$39</f>
        <v>3_5 Trigger Information</v>
      </c>
      <c r="D130" s="23" t="str">
        <f t="shared" si="1"/>
        <v>eyes:addTextTrigger()</v>
      </c>
      <c r="E130" s="22" t="s">
        <v>209</v>
      </c>
      <c r="F130" s="22" t="s">
        <v>243</v>
      </c>
      <c r="G130" s="27" t="s">
        <v>452</v>
      </c>
      <c r="H130" s="27" t="s">
        <v>413</v>
      </c>
      <c r="I130" s="22" t="s">
        <v>17</v>
      </c>
      <c r="J130" s="22" t="s">
        <v>632</v>
      </c>
    </row>
    <row r="131" spans="1:12" ht="30" x14ac:dyDescent="0.25">
      <c r="A131" s="22" t="s">
        <v>150</v>
      </c>
      <c r="C131" s="23" t="str">
        <f>Concepts!$B$42</f>
        <v>4_1 Screenshot Configuration</v>
      </c>
      <c r="D131" s="23" t="str">
        <f t="shared" ref="D131:D195" si="2">CONCATENATE(E131,":",G131)</f>
        <v xml:space="preserve">eyesBase: getScaleRatio() </v>
      </c>
      <c r="E131" s="22" t="s">
        <v>208</v>
      </c>
      <c r="F131" s="22" t="s">
        <v>248</v>
      </c>
      <c r="G131" s="24" t="s">
        <v>576</v>
      </c>
      <c r="H131" s="24" t="s">
        <v>268</v>
      </c>
      <c r="I131" s="30" t="s">
        <v>103</v>
      </c>
    </row>
    <row r="132" spans="1:12" ht="76.5" x14ac:dyDescent="0.25">
      <c r="A132" s="22" t="s">
        <v>150</v>
      </c>
      <c r="C132" s="23" t="str">
        <f>Concepts!$B$42</f>
        <v>4_1 Screenshot Configuration</v>
      </c>
      <c r="D132" s="23" t="str">
        <f t="shared" si="2"/>
        <v xml:space="preserve">eyesBase: setExplicitViewportSize() </v>
      </c>
      <c r="E132" s="22" t="s">
        <v>208</v>
      </c>
      <c r="F132" s="22" t="s">
        <v>243</v>
      </c>
      <c r="G132" s="24" t="s">
        <v>330</v>
      </c>
      <c r="H132" s="24" t="s">
        <v>331</v>
      </c>
      <c r="I132" s="25" t="s">
        <v>124</v>
      </c>
      <c r="J132" s="22" t="s">
        <v>177</v>
      </c>
      <c r="L132" s="26" t="s">
        <v>235</v>
      </c>
    </row>
    <row r="133" spans="1:12" ht="120" x14ac:dyDescent="0.25">
      <c r="A133" s="22" t="s">
        <v>150</v>
      </c>
      <c r="C133" s="23" t="str">
        <f>Concepts!$B$42</f>
        <v>4_1 Screenshot Configuration</v>
      </c>
      <c r="D133" s="23" t="str">
        <f t="shared" si="2"/>
        <v xml:space="preserve">eyesBase: setScaleRatio() </v>
      </c>
      <c r="E133" s="22" t="s">
        <v>208</v>
      </c>
      <c r="F133" s="22" t="s">
        <v>243</v>
      </c>
      <c r="G133" s="24" t="s">
        <v>304</v>
      </c>
      <c r="H133" s="24" t="s">
        <v>305</v>
      </c>
      <c r="I133" s="25" t="s">
        <v>102</v>
      </c>
      <c r="J133" s="22" t="s">
        <v>168</v>
      </c>
    </row>
    <row r="134" spans="1:12" ht="60" x14ac:dyDescent="0.25">
      <c r="A134" s="22" t="s">
        <v>150</v>
      </c>
      <c r="C134" s="23" t="s">
        <v>221</v>
      </c>
      <c r="D134" s="23" t="str">
        <f t="shared" si="2"/>
        <v>eyes: static final double DEFAULT_DEVICE_PIXEL_RATIO = 1;</v>
      </c>
      <c r="E134" s="22" t="s">
        <v>209</v>
      </c>
      <c r="F134" s="22" t="s">
        <v>250</v>
      </c>
      <c r="G134" s="33" t="s">
        <v>425</v>
      </c>
      <c r="H134" s="33"/>
      <c r="I134" s="34" t="s">
        <v>70</v>
      </c>
      <c r="J134" s="22" t="s">
        <v>185</v>
      </c>
    </row>
    <row r="135" spans="1:12" ht="60" x14ac:dyDescent="0.25">
      <c r="A135" s="22" t="s">
        <v>150</v>
      </c>
      <c r="C135" s="23" t="s">
        <v>221</v>
      </c>
      <c r="D135" s="23" t="str">
        <f t="shared" si="2"/>
        <v>eyes: static final double UNKNOWN_DEVICE_PIXEL_RATIO = 0;</v>
      </c>
      <c r="E135" s="22" t="s">
        <v>209</v>
      </c>
      <c r="F135" s="22" t="s">
        <v>250</v>
      </c>
      <c r="G135" s="33" t="s">
        <v>424</v>
      </c>
      <c r="H135" s="33"/>
      <c r="I135" s="34" t="s">
        <v>70</v>
      </c>
      <c r="J135" s="22" t="s">
        <v>184</v>
      </c>
    </row>
    <row r="136" spans="1:12" ht="45" x14ac:dyDescent="0.25">
      <c r="A136" s="22" t="s">
        <v>150</v>
      </c>
      <c r="C136" s="23" t="str">
        <f>Concepts!$B$42</f>
        <v>4_1 Screenshot Configuration</v>
      </c>
      <c r="D136" s="23" t="str">
        <f t="shared" si="2"/>
        <v>eyes:getDevicePixelRatio()</v>
      </c>
      <c r="E136" s="22" t="s">
        <v>209</v>
      </c>
      <c r="F136" s="22" t="s">
        <v>248</v>
      </c>
      <c r="G136" s="27" t="s">
        <v>441</v>
      </c>
      <c r="H136" s="27"/>
      <c r="I136" s="27" t="s">
        <v>577</v>
      </c>
    </row>
    <row r="137" spans="1:12" x14ac:dyDescent="0.25">
      <c r="A137" s="22" t="s">
        <v>150</v>
      </c>
      <c r="C137" s="23" t="s">
        <v>150</v>
      </c>
      <c r="D137" s="23" t="str">
        <f t="shared" si="2"/>
        <v>eyes:getDriver()</v>
      </c>
      <c r="E137" s="22" t="s">
        <v>209</v>
      </c>
      <c r="F137" s="22" t="s">
        <v>156</v>
      </c>
      <c r="G137" s="33" t="s">
        <v>429</v>
      </c>
      <c r="H137" s="33" t="s">
        <v>268</v>
      </c>
      <c r="I137" s="34" t="s">
        <v>70</v>
      </c>
      <c r="J137" s="22" t="s">
        <v>474</v>
      </c>
    </row>
    <row r="138" spans="1:12" ht="150" x14ac:dyDescent="0.25">
      <c r="A138" s="22" t="s">
        <v>150</v>
      </c>
      <c r="C138" s="23" t="s">
        <v>221</v>
      </c>
      <c r="D138" s="23" t="str">
        <f t="shared" si="2"/>
        <v>eyes:testResponseTime()</v>
      </c>
      <c r="E138" s="22" t="s">
        <v>209</v>
      </c>
      <c r="F138" s="22" t="s">
        <v>243</v>
      </c>
      <c r="G138" s="27" t="s">
        <v>445</v>
      </c>
      <c r="H138" s="27" t="s">
        <v>346</v>
      </c>
      <c r="I138" s="22" t="s">
        <v>11</v>
      </c>
      <c r="K138" s="22" t="s">
        <v>457</v>
      </c>
    </row>
    <row r="139" spans="1:12" ht="76.5" x14ac:dyDescent="0.25">
      <c r="A139" s="22" t="s">
        <v>150</v>
      </c>
      <c r="C139" s="23" t="s">
        <v>221</v>
      </c>
      <c r="D139" s="23" t="str">
        <f t="shared" si="2"/>
        <v>eyes:testResponseTime()</v>
      </c>
      <c r="E139" s="22" t="s">
        <v>209</v>
      </c>
      <c r="F139" s="22" t="s">
        <v>243</v>
      </c>
      <c r="G139" s="27" t="s">
        <v>445</v>
      </c>
      <c r="H139" s="27" t="s">
        <v>347</v>
      </c>
      <c r="I139" s="22" t="s">
        <v>12</v>
      </c>
    </row>
    <row r="140" spans="1:12" ht="75" x14ac:dyDescent="0.25">
      <c r="A140" s="22" t="s">
        <v>150</v>
      </c>
      <c r="C140" s="23" t="s">
        <v>221</v>
      </c>
      <c r="D140" s="23" t="str">
        <f t="shared" si="2"/>
        <v>eyes:testResponseTime()</v>
      </c>
      <c r="E140" s="22" t="s">
        <v>209</v>
      </c>
      <c r="F140" s="22" t="s">
        <v>243</v>
      </c>
      <c r="G140" s="27" t="s">
        <v>445</v>
      </c>
      <c r="H140" s="27" t="s">
        <v>349</v>
      </c>
      <c r="I140" s="22" t="s">
        <v>77</v>
      </c>
    </row>
    <row r="141" spans="1:12" ht="120" x14ac:dyDescent="0.25">
      <c r="A141" s="22" t="s">
        <v>150</v>
      </c>
      <c r="C141" s="23" t="s">
        <v>221</v>
      </c>
      <c r="D141" s="23" t="str">
        <f t="shared" si="2"/>
        <v>eyes:testResponseTime()</v>
      </c>
      <c r="E141" s="22" t="s">
        <v>209</v>
      </c>
      <c r="F141" s="22" t="s">
        <v>243</v>
      </c>
      <c r="G141" s="27" t="s">
        <v>445</v>
      </c>
      <c r="H141" s="27" t="s">
        <v>350</v>
      </c>
      <c r="I141" s="22" t="s">
        <v>76</v>
      </c>
    </row>
    <row r="142" spans="1:12" ht="114.75" x14ac:dyDescent="0.25">
      <c r="A142" s="22" t="s">
        <v>150</v>
      </c>
      <c r="C142" s="23" t="s">
        <v>221</v>
      </c>
      <c r="D142" s="23" t="str">
        <f t="shared" si="2"/>
        <v>eyes:testResponseTime()</v>
      </c>
      <c r="E142" s="22" t="s">
        <v>209</v>
      </c>
      <c r="F142" s="22" t="s">
        <v>243</v>
      </c>
      <c r="G142" s="27" t="s">
        <v>445</v>
      </c>
      <c r="H142" s="27" t="s">
        <v>351</v>
      </c>
      <c r="I142" s="22" t="s">
        <v>75</v>
      </c>
    </row>
    <row r="143" spans="1:12" ht="102" x14ac:dyDescent="0.25">
      <c r="A143" s="22" t="s">
        <v>150</v>
      </c>
      <c r="C143" s="23" t="s">
        <v>221</v>
      </c>
      <c r="D143" s="23" t="str">
        <f t="shared" si="2"/>
        <v>eyes:testResponseTime()</v>
      </c>
      <c r="E143" s="22" t="s">
        <v>209</v>
      </c>
      <c r="F143" s="22" t="s">
        <v>243</v>
      </c>
      <c r="G143" s="27" t="s">
        <v>445</v>
      </c>
      <c r="H143" s="27" t="s">
        <v>352</v>
      </c>
      <c r="I143" s="22" t="s">
        <v>74</v>
      </c>
    </row>
    <row r="144" spans="1:12" ht="89.25" x14ac:dyDescent="0.25">
      <c r="A144" s="22" t="s">
        <v>150</v>
      </c>
      <c r="C144" s="23" t="s">
        <v>221</v>
      </c>
      <c r="D144" s="23" t="str">
        <f t="shared" si="2"/>
        <v>eyes:testResponseTime()</v>
      </c>
      <c r="E144" s="22" t="s">
        <v>209</v>
      </c>
      <c r="F144" s="22" t="s">
        <v>243</v>
      </c>
      <c r="G144" s="27" t="s">
        <v>445</v>
      </c>
      <c r="H144" s="27" t="s">
        <v>354</v>
      </c>
      <c r="I144" s="22" t="s">
        <v>71</v>
      </c>
    </row>
    <row r="145" spans="1:12" ht="75" x14ac:dyDescent="0.25">
      <c r="A145" s="22" t="s">
        <v>150</v>
      </c>
      <c r="C145" s="23" t="s">
        <v>221</v>
      </c>
      <c r="D145" s="23" t="str">
        <f t="shared" si="2"/>
        <v>eyes:testResponseTime()</v>
      </c>
      <c r="E145" s="22" t="s">
        <v>209</v>
      </c>
      <c r="F145" s="22" t="s">
        <v>243</v>
      </c>
      <c r="G145" s="27" t="s">
        <v>445</v>
      </c>
      <c r="H145" s="27" t="s">
        <v>356</v>
      </c>
      <c r="I145" s="22" t="s">
        <v>73</v>
      </c>
    </row>
    <row r="146" spans="1:12" ht="75" x14ac:dyDescent="0.25">
      <c r="A146" s="22" t="s">
        <v>150</v>
      </c>
      <c r="C146" s="23" t="s">
        <v>221</v>
      </c>
      <c r="D146" s="23" t="str">
        <f t="shared" si="2"/>
        <v>eyes:testResponseTime()</v>
      </c>
      <c r="E146" s="22" t="s">
        <v>209</v>
      </c>
      <c r="F146" s="22" t="s">
        <v>243</v>
      </c>
      <c r="G146" s="27" t="s">
        <v>445</v>
      </c>
      <c r="H146" s="27" t="s">
        <v>348</v>
      </c>
      <c r="I146" s="22" t="s">
        <v>13</v>
      </c>
    </row>
    <row r="147" spans="1:12" ht="105" x14ac:dyDescent="0.25">
      <c r="A147" s="22" t="s">
        <v>150</v>
      </c>
      <c r="C147" s="23" t="s">
        <v>221</v>
      </c>
      <c r="D147" s="23" t="str">
        <f t="shared" si="2"/>
        <v>eyes:testResponseTime()</v>
      </c>
      <c r="E147" s="22" t="s">
        <v>209</v>
      </c>
      <c r="F147" s="22" t="s">
        <v>243</v>
      </c>
      <c r="G147" s="27" t="s">
        <v>445</v>
      </c>
      <c r="H147" s="27" t="s">
        <v>353</v>
      </c>
      <c r="I147" s="22" t="s">
        <v>72</v>
      </c>
    </row>
    <row r="148" spans="1:12" ht="76.5" x14ac:dyDescent="0.25">
      <c r="A148" s="22" t="s">
        <v>150</v>
      </c>
      <c r="C148" s="23" t="s">
        <v>221</v>
      </c>
      <c r="D148" s="23" t="str">
        <f t="shared" si="2"/>
        <v>eyes:testResponseTime()</v>
      </c>
      <c r="E148" s="22" t="s">
        <v>209</v>
      </c>
      <c r="F148" s="22" t="s">
        <v>243</v>
      </c>
      <c r="G148" s="27" t="s">
        <v>445</v>
      </c>
      <c r="H148" s="27" t="s">
        <v>355</v>
      </c>
      <c r="I148" s="22" t="s">
        <v>71</v>
      </c>
    </row>
    <row r="149" spans="1:12" ht="30" x14ac:dyDescent="0.25">
      <c r="A149" s="22" t="s">
        <v>150</v>
      </c>
      <c r="C149" s="23" t="s">
        <v>150</v>
      </c>
      <c r="D149" s="23" t="str">
        <f t="shared" si="2"/>
        <v>eyes:WebDriverAction</v>
      </c>
      <c r="E149" s="22" t="s">
        <v>209</v>
      </c>
      <c r="F149" s="22" t="s">
        <v>332</v>
      </c>
      <c r="G149" s="33" t="s">
        <v>2</v>
      </c>
      <c r="H149" s="33"/>
      <c r="I149" s="34" t="s">
        <v>70</v>
      </c>
      <c r="J149" s="22" t="s">
        <v>183</v>
      </c>
    </row>
    <row r="150" spans="1:12" ht="30" x14ac:dyDescent="0.25">
      <c r="A150" s="22" t="str">
        <f>groups!$A$4</f>
        <v>test control</v>
      </c>
      <c r="C150" s="23" t="str">
        <f>Concepts!$B$40</f>
        <v>3_6 Controling the test sequence</v>
      </c>
      <c r="D150" s="23" t="str">
        <f t="shared" si="2"/>
        <v>eyesBase: getFailureReports()</v>
      </c>
      <c r="E150" s="22" t="s">
        <v>208</v>
      </c>
      <c r="F150" s="22" t="s">
        <v>159</v>
      </c>
      <c r="G150" s="29" t="s">
        <v>292</v>
      </c>
      <c r="H150" s="29" t="s">
        <v>268</v>
      </c>
      <c r="I150" s="30" t="s">
        <v>94</v>
      </c>
    </row>
    <row r="151" spans="1:12" ht="30" x14ac:dyDescent="0.25">
      <c r="A151" s="22" t="str">
        <f>groups!$A$4</f>
        <v>test control</v>
      </c>
      <c r="C151" s="23" t="str">
        <f>Concepts!$B$40</f>
        <v>3_6 Controling the test sequence</v>
      </c>
      <c r="D151" s="23" t="str">
        <f t="shared" si="2"/>
        <v xml:space="preserve">eyesBase: getIsDisabled() </v>
      </c>
      <c r="E151" s="22" t="s">
        <v>208</v>
      </c>
      <c r="F151" s="22" t="s">
        <v>245</v>
      </c>
      <c r="G151" s="24" t="s">
        <v>578</v>
      </c>
      <c r="H151" s="24" t="s">
        <v>268</v>
      </c>
      <c r="I151" s="30" t="s">
        <v>82</v>
      </c>
      <c r="K151" s="22" t="s">
        <v>219</v>
      </c>
    </row>
    <row r="152" spans="1:12" ht="45" x14ac:dyDescent="0.25">
      <c r="A152" s="22" t="str">
        <f>groups!$A$4</f>
        <v>test control</v>
      </c>
      <c r="C152" s="23" t="str">
        <f>Concepts!$B$43</f>
        <v>4_2 Timing and Performance Considerations</v>
      </c>
      <c r="D152" s="23" t="str">
        <f t="shared" si="2"/>
        <v xml:space="preserve">eyesBase: getMatchTimeout() </v>
      </c>
      <c r="E152" s="22" t="s">
        <v>208</v>
      </c>
      <c r="F152" s="22" t="s">
        <v>246</v>
      </c>
      <c r="G152" s="24" t="s">
        <v>579</v>
      </c>
      <c r="H152" s="24" t="s">
        <v>268</v>
      </c>
      <c r="I152" s="30" t="s">
        <v>89</v>
      </c>
    </row>
    <row r="153" spans="1:12" ht="255" x14ac:dyDescent="0.25">
      <c r="A153" s="22" t="str">
        <f>groups!$A$4</f>
        <v>test control</v>
      </c>
      <c r="C153" s="23" t="str">
        <f>Concepts!$B$40</f>
        <v>3_6 Controling the test sequence</v>
      </c>
      <c r="D153" s="23" t="str">
        <f t="shared" si="2"/>
        <v>eyesBase: setFailureReports()</v>
      </c>
      <c r="E153" s="22" t="s">
        <v>208</v>
      </c>
      <c r="F153" s="22" t="s">
        <v>243</v>
      </c>
      <c r="G153" s="24" t="s">
        <v>290</v>
      </c>
      <c r="H153" s="24" t="s">
        <v>291</v>
      </c>
      <c r="I153" s="30" t="s">
        <v>160</v>
      </c>
      <c r="J153" s="22" t="s">
        <v>161</v>
      </c>
      <c r="L153" s="26" t="s">
        <v>227</v>
      </c>
    </row>
    <row r="154" spans="1:12" ht="45" x14ac:dyDescent="0.25">
      <c r="A154" s="22" t="str">
        <f>groups!$A$4</f>
        <v>test control</v>
      </c>
      <c r="C154" s="23" t="str">
        <f>Concepts!$B$40</f>
        <v>3_6 Controling the test sequence</v>
      </c>
      <c r="D154" s="23" t="str">
        <f t="shared" si="2"/>
        <v>eyesBase: setIsDisabled()</v>
      </c>
      <c r="E154" s="22" t="s">
        <v>208</v>
      </c>
      <c r="F154" s="22" t="s">
        <v>243</v>
      </c>
      <c r="G154" s="24" t="s">
        <v>276</v>
      </c>
      <c r="H154" s="24" t="s">
        <v>277</v>
      </c>
      <c r="I154" s="30" t="s">
        <v>80</v>
      </c>
      <c r="J154" s="34" t="s">
        <v>81</v>
      </c>
      <c r="K154" s="22" t="str">
        <f>Concepts!$A$17</f>
        <v>Eyes Server</v>
      </c>
    </row>
    <row r="155" spans="1:12" ht="255" x14ac:dyDescent="0.25">
      <c r="A155" s="22" t="str">
        <f>groups!$A$4</f>
        <v>test control</v>
      </c>
      <c r="C155" s="23" t="str">
        <f>Concepts!$B$43</f>
        <v>4_2 Timing and Performance Considerations</v>
      </c>
      <c r="D155" s="23" t="str">
        <f t="shared" si="2"/>
        <v xml:space="preserve">eyesBase: setMatchTimeout() </v>
      </c>
      <c r="E155" s="22" t="s">
        <v>208</v>
      </c>
      <c r="F155" s="22" t="s">
        <v>243</v>
      </c>
      <c r="G155" s="24" t="s">
        <v>283</v>
      </c>
      <c r="H155" s="24" t="s">
        <v>284</v>
      </c>
      <c r="I155" s="25" t="s">
        <v>88</v>
      </c>
      <c r="J155" s="22" t="s">
        <v>154</v>
      </c>
      <c r="L155" s="26" t="s">
        <v>224</v>
      </c>
    </row>
    <row r="156" spans="1:12" ht="75" x14ac:dyDescent="0.25">
      <c r="A156" s="22" t="str">
        <f>groups!$A$10</f>
        <v>z_debug</v>
      </c>
      <c r="C156" s="23" t="str">
        <f>Concepts!$B$47</f>
        <v>5_1 Storing images results locally</v>
      </c>
      <c r="D156" s="23" t="str">
        <f t="shared" si="2"/>
        <v xml:space="preserve">eyesBase: getDebugScreenshotsPath() </v>
      </c>
      <c r="E156" s="22" t="s">
        <v>208</v>
      </c>
      <c r="F156" s="22" t="s">
        <v>244</v>
      </c>
      <c r="G156" s="29" t="s">
        <v>262</v>
      </c>
      <c r="H156" s="29" t="s">
        <v>268</v>
      </c>
      <c r="I156" s="30" t="s">
        <v>107</v>
      </c>
      <c r="J156" s="22" t="s">
        <v>634</v>
      </c>
      <c r="L156" s="26" t="s">
        <v>221</v>
      </c>
    </row>
    <row r="157" spans="1:12" ht="75" x14ac:dyDescent="0.25">
      <c r="A157" s="22" t="str">
        <f>groups!$A$10</f>
        <v>z_debug</v>
      </c>
      <c r="C157" s="23" t="str">
        <f>Concepts!$B$47</f>
        <v>5_1 Storing images results locally</v>
      </c>
      <c r="D157" s="23" t="str">
        <f t="shared" si="2"/>
        <v xml:space="preserve">eyesBase: getDebugScreenshotsPrefix() </v>
      </c>
      <c r="E157" s="22" t="s">
        <v>208</v>
      </c>
      <c r="F157" s="22" t="s">
        <v>244</v>
      </c>
      <c r="G157" s="29" t="s">
        <v>263</v>
      </c>
      <c r="H157" s="29" t="s">
        <v>268</v>
      </c>
      <c r="I157" s="30" t="s">
        <v>108</v>
      </c>
      <c r="J157" s="22" t="s">
        <v>634</v>
      </c>
      <c r="L157" s="26" t="s">
        <v>221</v>
      </c>
    </row>
    <row r="158" spans="1:12" ht="75" x14ac:dyDescent="0.25">
      <c r="A158" s="22" t="str">
        <f>groups!$A$10</f>
        <v>z_debug</v>
      </c>
      <c r="C158" s="23" t="str">
        <f>Concepts!$B$47</f>
        <v>5_1 Storing images results locally</v>
      </c>
      <c r="D158" s="23" t="str">
        <f t="shared" si="2"/>
        <v>eyesBase: getDebugScreenshotsProvider()</v>
      </c>
      <c r="E158" s="22" t="s">
        <v>208</v>
      </c>
      <c r="F158" s="22" t="s">
        <v>170</v>
      </c>
      <c r="G158" s="29" t="s">
        <v>264</v>
      </c>
      <c r="H158" s="29" t="s">
        <v>268</v>
      </c>
      <c r="I158" s="41" t="s">
        <v>70</v>
      </c>
      <c r="J158" s="22" t="s">
        <v>634</v>
      </c>
      <c r="L158" s="26" t="s">
        <v>221</v>
      </c>
    </row>
    <row r="159" spans="1:12" ht="75" x14ac:dyDescent="0.25">
      <c r="A159" s="22" t="str">
        <f>groups!$A$10</f>
        <v>z_debug</v>
      </c>
      <c r="C159" s="23" t="str">
        <f>Concepts!$B$47</f>
        <v>5_1 Storing images results locally</v>
      </c>
      <c r="D159" s="23" t="str">
        <f t="shared" si="2"/>
        <v xml:space="preserve">eyesBase: getSaveDebugScreenshots() </v>
      </c>
      <c r="E159" s="22" t="s">
        <v>208</v>
      </c>
      <c r="F159" s="22" t="s">
        <v>245</v>
      </c>
      <c r="G159" s="24" t="s">
        <v>580</v>
      </c>
      <c r="H159" s="24" t="s">
        <v>268</v>
      </c>
      <c r="I159" s="30" t="s">
        <v>105</v>
      </c>
      <c r="J159" s="22" t="s">
        <v>634</v>
      </c>
      <c r="L159" s="26" t="s">
        <v>221</v>
      </c>
    </row>
    <row r="160" spans="1:12" ht="75" x14ac:dyDescent="0.25">
      <c r="A160" s="22" t="str">
        <f>groups!$A$10</f>
        <v>z_debug</v>
      </c>
      <c r="C160" s="23" t="str">
        <f>Concepts!$B$47</f>
        <v>5_1 Storing images results locally</v>
      </c>
      <c r="D160" s="23" t="str">
        <f t="shared" si="2"/>
        <v>eyesBase: setDebugScreenshotsPath()</v>
      </c>
      <c r="E160" s="22" t="s">
        <v>208</v>
      </c>
      <c r="F160" s="22" t="s">
        <v>243</v>
      </c>
      <c r="G160" s="29" t="s">
        <v>310</v>
      </c>
      <c r="H160" s="29" t="s">
        <v>311</v>
      </c>
      <c r="I160" s="42" t="s">
        <v>106</v>
      </c>
      <c r="J160" s="22" t="s">
        <v>634</v>
      </c>
      <c r="L160" s="26" t="s">
        <v>221</v>
      </c>
    </row>
    <row r="161" spans="1:12" ht="75" x14ac:dyDescent="0.25">
      <c r="A161" s="22" t="str">
        <f>groups!$A$10</f>
        <v>z_debug</v>
      </c>
      <c r="C161" s="23" t="str">
        <f>Concepts!$B$47</f>
        <v>5_1 Storing images results locally</v>
      </c>
      <c r="D161" s="23" t="str">
        <f t="shared" si="2"/>
        <v>eyesBase: setDebugScreenshotsPrefix()</v>
      </c>
      <c r="E161" s="22" t="s">
        <v>208</v>
      </c>
      <c r="F161" s="22" t="s">
        <v>243</v>
      </c>
      <c r="G161" s="24" t="s">
        <v>312</v>
      </c>
      <c r="H161" s="24" t="s">
        <v>313</v>
      </c>
      <c r="I161" s="28" t="s">
        <v>581</v>
      </c>
      <c r="J161" s="22" t="s">
        <v>634</v>
      </c>
      <c r="L161" s="26" t="s">
        <v>221</v>
      </c>
    </row>
    <row r="162" spans="1:12" ht="75" x14ac:dyDescent="0.25">
      <c r="A162" s="22" t="str">
        <f>groups!$A$10</f>
        <v>z_debug</v>
      </c>
      <c r="C162" s="23" t="str">
        <f>Concepts!$B$47</f>
        <v>5_1 Storing images results locally</v>
      </c>
      <c r="D162" s="23" t="str">
        <f t="shared" si="2"/>
        <v xml:space="preserve">eyesBase: setSaveDebugScreenshots() </v>
      </c>
      <c r="E162" s="22" t="s">
        <v>208</v>
      </c>
      <c r="F162" s="22" t="s">
        <v>243</v>
      </c>
      <c r="G162" s="24" t="s">
        <v>308</v>
      </c>
      <c r="H162" s="24" t="s">
        <v>309</v>
      </c>
      <c r="I162" s="28" t="s">
        <v>582</v>
      </c>
      <c r="J162" s="22" t="s">
        <v>634</v>
      </c>
      <c r="L162" s="26" t="s">
        <v>221</v>
      </c>
    </row>
    <row r="163" spans="1:12" ht="30" x14ac:dyDescent="0.25">
      <c r="A163" s="22" t="str">
        <f>groups!$A$11</f>
        <v>z_internal</v>
      </c>
      <c r="C163" s="23" t="s">
        <v>221</v>
      </c>
      <c r="D163" s="23" t="str">
        <f t="shared" si="2"/>
        <v xml:space="preserve">eyesBase: getAgentId() </v>
      </c>
      <c r="E163" s="22" t="s">
        <v>208</v>
      </c>
      <c r="F163" s="22" t="s">
        <v>244</v>
      </c>
      <c r="G163" s="29" t="s">
        <v>254</v>
      </c>
      <c r="H163" s="29" t="s">
        <v>268</v>
      </c>
      <c r="I163" s="28" t="s">
        <v>130</v>
      </c>
      <c r="K163" s="31" t="e">
        <f>CONCATENATE(Concepts!#REF!)</f>
        <v>#REF!</v>
      </c>
    </row>
    <row r="164" spans="1:12" ht="45" x14ac:dyDescent="0.25">
      <c r="A164" s="22" t="str">
        <f>groups!A11</f>
        <v>z_internal</v>
      </c>
      <c r="C164" s="23" t="s">
        <v>635</v>
      </c>
      <c r="D164" s="23" t="str">
        <f t="shared" si="2"/>
        <v xml:space="preserve">eyesBase: getDefaultServerUrl() </v>
      </c>
      <c r="E164" s="22" t="s">
        <v>208</v>
      </c>
      <c r="F164" s="22" t="s">
        <v>178</v>
      </c>
      <c r="G164" s="29" t="s">
        <v>261</v>
      </c>
      <c r="H164" s="29" t="s">
        <v>268</v>
      </c>
      <c r="I164" s="41" t="s">
        <v>70</v>
      </c>
    </row>
    <row r="165" spans="1:12" ht="45" x14ac:dyDescent="0.25">
      <c r="A165" s="22" t="str">
        <f>groups!$A$11</f>
        <v>z_internal</v>
      </c>
      <c r="C165" s="23" t="s">
        <v>221</v>
      </c>
      <c r="D165" s="23" t="str">
        <f t="shared" si="2"/>
        <v>eyesBase: setPositionProvider()</v>
      </c>
      <c r="E165" s="22" t="s">
        <v>208</v>
      </c>
      <c r="F165" s="22" t="s">
        <v>243</v>
      </c>
      <c r="G165" s="24" t="s">
        <v>329</v>
      </c>
      <c r="H165" s="24" t="s">
        <v>328</v>
      </c>
      <c r="I165" s="28" t="s">
        <v>583</v>
      </c>
      <c r="L165" s="26" t="s">
        <v>458</v>
      </c>
    </row>
    <row r="166" spans="1:12" ht="30" x14ac:dyDescent="0.25">
      <c r="A166" s="22" t="str">
        <f>groups!$A$11</f>
        <v>z_internal</v>
      </c>
      <c r="C166" s="23" t="s">
        <v>221</v>
      </c>
      <c r="D166" s="23" t="str">
        <f t="shared" si="2"/>
        <v>eyes:getBaseAgentId()</v>
      </c>
      <c r="E166" s="22" t="s">
        <v>209</v>
      </c>
      <c r="F166" s="22" t="s">
        <v>244</v>
      </c>
      <c r="G166" s="40" t="s">
        <v>428</v>
      </c>
      <c r="H166" s="40" t="s">
        <v>268</v>
      </c>
      <c r="I166" s="34" t="s">
        <v>70</v>
      </c>
      <c r="K166" s="22" t="e">
        <f>Concepts!#REF!</f>
        <v>#REF!</v>
      </c>
    </row>
    <row r="167" spans="1:12" ht="30" x14ac:dyDescent="0.25">
      <c r="A167" s="22" t="str">
        <f>groups!A11</f>
        <v>z_internal</v>
      </c>
      <c r="C167" s="23" t="s">
        <v>221</v>
      </c>
      <c r="D167" s="23" t="str">
        <f t="shared" si="2"/>
        <v>eyes:getElementPositionProviderI()</v>
      </c>
      <c r="E167" s="22" t="s">
        <v>209</v>
      </c>
      <c r="F167" s="22" t="s">
        <v>249</v>
      </c>
      <c r="G167" s="29" t="s">
        <v>416</v>
      </c>
      <c r="H167" s="27" t="s">
        <v>268</v>
      </c>
      <c r="I167" s="22" t="s">
        <v>14</v>
      </c>
      <c r="J167" s="22" t="s">
        <v>150</v>
      </c>
      <c r="K167" s="22" t="s">
        <v>150</v>
      </c>
    </row>
    <row r="168" spans="1:12" ht="60" x14ac:dyDescent="0.25">
      <c r="A168" s="22" t="str">
        <f>groups!A11</f>
        <v>z_internal</v>
      </c>
      <c r="C168" s="23" t="s">
        <v>221</v>
      </c>
      <c r="D168" s="23" t="str">
        <f t="shared" si="2"/>
        <v xml:space="preserve">eyesBase:PositionProvider getPositionProvider() </v>
      </c>
      <c r="E168" s="22" t="s">
        <v>208</v>
      </c>
      <c r="G168" s="29" t="s">
        <v>123</v>
      </c>
      <c r="H168" s="29" t="s">
        <v>268</v>
      </c>
      <c r="I168" s="28" t="s">
        <v>135</v>
      </c>
      <c r="J168" s="22" t="s">
        <v>177</v>
      </c>
    </row>
    <row r="169" spans="1:12" ht="75" x14ac:dyDescent="0.25">
      <c r="A169" s="22" t="str">
        <f>groups!$A$11</f>
        <v>z_internal</v>
      </c>
      <c r="C169" s="23" t="s">
        <v>221</v>
      </c>
      <c r="D169" s="23" t="str">
        <f t="shared" si="2"/>
        <v>eyesBase:setAgentId()</v>
      </c>
      <c r="E169" s="22" t="s">
        <v>208</v>
      </c>
      <c r="F169" s="22" t="s">
        <v>243</v>
      </c>
      <c r="G169" s="24" t="s">
        <v>266</v>
      </c>
      <c r="H169" s="24" t="s">
        <v>267</v>
      </c>
      <c r="I169" s="25" t="s">
        <v>200</v>
      </c>
      <c r="J169" s="34" t="s">
        <v>201</v>
      </c>
      <c r="K169" s="31" t="e">
        <f>CONCATENATE(Concepts!#REF!)</f>
        <v>#REF!</v>
      </c>
      <c r="L169" s="26" t="s">
        <v>220</v>
      </c>
    </row>
    <row r="170" spans="1:12" ht="51" x14ac:dyDescent="0.25">
      <c r="A170" s="22" t="str">
        <f>groups!$A$9</f>
        <v>zz_deprecated</v>
      </c>
      <c r="C170" s="23" t="s">
        <v>174</v>
      </c>
      <c r="D170" s="23" t="str">
        <f t="shared" si="2"/>
        <v xml:space="preserve">eyesBase:getBaselineName() </v>
      </c>
      <c r="E170" s="22" t="s">
        <v>208</v>
      </c>
      <c r="F170" s="22" t="s">
        <v>244</v>
      </c>
      <c r="G170" s="29" t="s">
        <v>421</v>
      </c>
      <c r="H170" s="29" t="s">
        <v>268</v>
      </c>
      <c r="I170" s="25" t="s">
        <v>118</v>
      </c>
    </row>
    <row r="171" spans="1:12" ht="127.5" x14ac:dyDescent="0.25">
      <c r="A171" s="22" t="str">
        <f>groups!$A$9</f>
        <v>zz_deprecated</v>
      </c>
      <c r="C171" s="23" t="s">
        <v>174</v>
      </c>
      <c r="D171" s="23" t="str">
        <f t="shared" si="2"/>
        <v xml:space="preserve">eyesBase:setAppEnvironment() </v>
      </c>
      <c r="E171" s="22" t="s">
        <v>208</v>
      </c>
      <c r="F171" s="22" t="s">
        <v>243</v>
      </c>
      <c r="G171" s="29" t="s">
        <v>326</v>
      </c>
      <c r="H171" s="29" t="s">
        <v>327</v>
      </c>
      <c r="I171" s="25" t="s">
        <v>122</v>
      </c>
    </row>
    <row r="172" spans="1:12" ht="63.75" x14ac:dyDescent="0.25">
      <c r="A172" s="22" t="str">
        <f>groups!$A$9</f>
        <v>zz_deprecated</v>
      </c>
      <c r="C172" s="23" t="s">
        <v>174</v>
      </c>
      <c r="D172" s="23" t="str">
        <f t="shared" si="2"/>
        <v>eyesBase:setBaselineName()</v>
      </c>
      <c r="E172" s="22" t="s">
        <v>208</v>
      </c>
      <c r="F172" s="22" t="s">
        <v>243</v>
      </c>
      <c r="G172" s="29" t="s">
        <v>322</v>
      </c>
      <c r="H172" s="29" t="s">
        <v>323</v>
      </c>
      <c r="I172" s="30" t="s">
        <v>117</v>
      </c>
    </row>
    <row r="173" spans="1:12" ht="30" x14ac:dyDescent="0.25">
      <c r="C173" s="23" t="str">
        <f>Concepts!$B$45</f>
        <v>4_4 Server Access Configuration</v>
      </c>
      <c r="D173" s="23" t="str">
        <f t="shared" si="2"/>
        <v>ProxySettings:</v>
      </c>
      <c r="E173" t="s">
        <v>141</v>
      </c>
      <c r="F173" s="2"/>
    </row>
    <row r="174" spans="1:12" x14ac:dyDescent="0.25">
      <c r="C174" s="23" t="str">
        <f>Concepts!$B$38</f>
        <v>3_4 Batches</v>
      </c>
      <c r="D174" s="23" t="str">
        <f t="shared" si="2"/>
        <v>BatchInfo:</v>
      </c>
      <c r="E174" t="s">
        <v>155</v>
      </c>
      <c r="F174"/>
    </row>
    <row r="175" spans="1:12" ht="30" x14ac:dyDescent="0.25">
      <c r="C175" s="23" t="str">
        <f>Concepts!$B$24</f>
        <v>1_1 test Startup and wrapup</v>
      </c>
      <c r="D175" s="23" t="str">
        <f t="shared" si="2"/>
        <v>WebDriver:</v>
      </c>
      <c r="E175" t="s">
        <v>156</v>
      </c>
      <c r="F175"/>
    </row>
    <row r="176" spans="1:12" ht="30" x14ac:dyDescent="0.25">
      <c r="C176" s="22" t="str">
        <f>CONCATENATE(Concepts!$B$32)</f>
        <v>2_3 MatchingUnitsTypes</v>
      </c>
      <c r="D176" s="23" t="str">
        <f t="shared" si="2"/>
        <v>Region:</v>
      </c>
      <c r="E176" t="s">
        <v>157</v>
      </c>
      <c r="F176"/>
    </row>
    <row r="177" spans="3:10" ht="60" x14ac:dyDescent="0.25">
      <c r="C177" s="23" t="str">
        <f>Concepts!$B$40</f>
        <v>3_6 Controling the test sequence</v>
      </c>
      <c r="D177" s="23" t="str">
        <f t="shared" si="2"/>
        <v>FailureReports:</v>
      </c>
      <c r="E177" t="s">
        <v>159</v>
      </c>
      <c r="F177"/>
      <c r="I177" s="25" t="s">
        <v>595</v>
      </c>
      <c r="J177" s="34" t="s">
        <v>596</v>
      </c>
    </row>
    <row r="178" spans="3:10" x14ac:dyDescent="0.25">
      <c r="C178" s="23" t="str">
        <f>Concepts!$B$31</f>
        <v>2_2 Match Levels</v>
      </c>
      <c r="D178" s="23" t="str">
        <f t="shared" si="2"/>
        <v>ImageMatchSettings:</v>
      </c>
      <c r="E178" t="s">
        <v>162</v>
      </c>
      <c r="F178"/>
    </row>
    <row r="179" spans="3:10" x14ac:dyDescent="0.25">
      <c r="C179" s="23" t="str">
        <f>Concepts!$B$31</f>
        <v>2_2 Match Levels</v>
      </c>
      <c r="D179" s="23" t="str">
        <f t="shared" si="2"/>
        <v>MatchLevel:</v>
      </c>
      <c r="E179" s="1" t="s">
        <v>164</v>
      </c>
      <c r="F179"/>
    </row>
    <row r="180" spans="3:10" x14ac:dyDescent="0.25">
      <c r="C180" s="23" t="str">
        <f>Concepts!$B$33</f>
        <v>2_4 Match Filtering</v>
      </c>
      <c r="D180" s="23" t="str">
        <f t="shared" si="2"/>
        <v>CutProvider:</v>
      </c>
      <c r="E180" t="s">
        <v>166</v>
      </c>
      <c r="F180"/>
    </row>
    <row r="181" spans="3:10" ht="30" x14ac:dyDescent="0.25">
      <c r="C181" s="23" t="str">
        <f>Concepts!$B$47</f>
        <v>5_1 Storing images results locally</v>
      </c>
      <c r="D181" s="23" t="str">
        <f t="shared" si="2"/>
        <v>DebugScreenshotsProvider:</v>
      </c>
      <c r="E181" t="s">
        <v>170</v>
      </c>
      <c r="F181"/>
    </row>
    <row r="182" spans="3:10" ht="30" x14ac:dyDescent="0.25">
      <c r="C182" s="23" t="str">
        <f>Concepts!$B$26</f>
        <v>1_3 obtaining match results</v>
      </c>
      <c r="D182" s="23" t="str">
        <f t="shared" si="2"/>
        <v>TestResults:</v>
      </c>
      <c r="E182" t="s">
        <v>171</v>
      </c>
      <c r="F182"/>
    </row>
    <row r="183" spans="3:10" x14ac:dyDescent="0.25">
      <c r="C183" s="23" t="s">
        <v>221</v>
      </c>
      <c r="D183" s="23" t="str">
        <f t="shared" si="2"/>
        <v>PositionProvider :</v>
      </c>
      <c r="E183" t="s">
        <v>176</v>
      </c>
      <c r="F183"/>
    </row>
    <row r="184" spans="3:10" ht="30" x14ac:dyDescent="0.25">
      <c r="C184" s="23" t="str">
        <f>Concepts!$B$24</f>
        <v>1_1 test Startup and wrapup</v>
      </c>
      <c r="D184" s="23" t="str">
        <f t="shared" si="2"/>
        <v>URI:</v>
      </c>
      <c r="E184" t="s">
        <v>178</v>
      </c>
      <c r="F184"/>
    </row>
    <row r="185" spans="3:10" ht="30" x14ac:dyDescent="0.25">
      <c r="C185" s="23" t="str">
        <f>Concepts!$B$44</f>
        <v>4_3 Client Debug Environment</v>
      </c>
      <c r="D185" s="23" t="str">
        <f t="shared" si="2"/>
        <v>LogHandler:</v>
      </c>
      <c r="E185" s="1" t="s">
        <v>179</v>
      </c>
      <c r="I185" s="4" t="s">
        <v>180</v>
      </c>
      <c r="J185" s="1" t="s">
        <v>181</v>
      </c>
    </row>
    <row r="186" spans="3:10" ht="30" x14ac:dyDescent="0.25">
      <c r="C186" s="23" t="str">
        <f>Concepts!$B$24</f>
        <v>1_1 test Startup and wrapup</v>
      </c>
      <c r="D186" s="23" t="str">
        <f t="shared" si="2"/>
        <v>RectangleSize:</v>
      </c>
      <c r="E186" s="1" t="s">
        <v>1</v>
      </c>
      <c r="I186" s="4" t="s">
        <v>182</v>
      </c>
    </row>
    <row r="187" spans="3:10" ht="30" x14ac:dyDescent="0.25">
      <c r="C187" s="32" t="str">
        <f>Concepts!$B$42</f>
        <v>4_1 Screenshot Configuration</v>
      </c>
      <c r="D187" s="23" t="str">
        <f t="shared" si="2"/>
        <v>StitchMode mode:</v>
      </c>
      <c r="E187" t="s">
        <v>193</v>
      </c>
      <c r="F187"/>
    </row>
    <row r="188" spans="3:10" ht="30" x14ac:dyDescent="0.25">
      <c r="C188" s="32" t="str">
        <f>Concepts!$B$42</f>
        <v>4_1 Screenshot Configuration</v>
      </c>
      <c r="D188" s="23" t="str">
        <f t="shared" si="2"/>
        <v>ImageRotation:</v>
      </c>
      <c r="E188" t="s">
        <v>0</v>
      </c>
      <c r="F188"/>
    </row>
    <row r="189" spans="3:10" x14ac:dyDescent="0.25">
      <c r="C189" s="23" t="s">
        <v>221</v>
      </c>
      <c r="D189" s="23" t="str">
        <f t="shared" si="2"/>
        <v>WebDriverAction:</v>
      </c>
      <c r="E189" t="s">
        <v>2</v>
      </c>
      <c r="F189"/>
      <c r="I189" s="25" t="s">
        <v>598</v>
      </c>
    </row>
    <row r="190" spans="3:10" ht="30" x14ac:dyDescent="0.25">
      <c r="C190" s="22" t="str">
        <f>CONCATENATE(Concepts!$B$32)</f>
        <v>2_3 MatchingUnitsTypes</v>
      </c>
      <c r="D190" s="23" t="str">
        <f t="shared" si="2"/>
        <v>ICheckSettings:</v>
      </c>
      <c r="E190" t="s">
        <v>196</v>
      </c>
      <c r="F190"/>
    </row>
    <row r="191" spans="3:10" x14ac:dyDescent="0.25">
      <c r="C191" s="23" t="str">
        <f>Concepts!B33</f>
        <v>2_4 Match Filtering</v>
      </c>
      <c r="D191" s="23" t="str">
        <f t="shared" si="2"/>
        <v>WebElement:</v>
      </c>
      <c r="E191" t="s">
        <v>197</v>
      </c>
      <c r="F191"/>
    </row>
    <row r="192" spans="3:10" ht="30" x14ac:dyDescent="0.25">
      <c r="C192" s="22" t="str">
        <f>CONCATENATE(Concepts!$B$32)</f>
        <v>2_3 MatchingUnitsTypes</v>
      </c>
      <c r="D192" s="23" t="str">
        <f t="shared" si="2"/>
        <v>By:</v>
      </c>
      <c r="E192" t="s">
        <v>198</v>
      </c>
      <c r="F192"/>
    </row>
    <row r="193" spans="3:9" ht="30" x14ac:dyDescent="0.25">
      <c r="C193" s="23" t="str">
        <f>Concepts!B39</f>
        <v>3_5 Trigger Information</v>
      </c>
      <c r="D193" s="23" t="str">
        <f t="shared" si="2"/>
        <v>MouseAction:</v>
      </c>
      <c r="E193" t="s">
        <v>199</v>
      </c>
      <c r="F193"/>
    </row>
    <row r="194" spans="3:9" ht="30" x14ac:dyDescent="0.25">
      <c r="C194" s="22" t="str">
        <f>CONCATENATE(Concepts!$B$32)</f>
        <v>2_3 MatchingUnitsTypes</v>
      </c>
      <c r="D194" s="23" t="str">
        <f t="shared" si="2"/>
        <v>Target:</v>
      </c>
      <c r="E194" s="22" t="s">
        <v>620</v>
      </c>
      <c r="I194" s="25" t="s">
        <v>643</v>
      </c>
    </row>
    <row r="195" spans="3:9" ht="30" x14ac:dyDescent="0.25">
      <c r="D195" s="23" t="str">
        <f t="shared" si="2"/>
        <v>CoordinatesTypeConversionException:</v>
      </c>
      <c r="E195" s="45" t="s">
        <v>645</v>
      </c>
    </row>
    <row r="196" spans="3:9" ht="30" x14ac:dyDescent="0.25">
      <c r="D196" s="23" t="str">
        <f t="shared" ref="D196:D198" si="3">CONCATENATE(E196,":",G196)</f>
        <v>TestFailedException :</v>
      </c>
      <c r="E196" s="45" t="s">
        <v>646</v>
      </c>
      <c r="G196" s="47"/>
      <c r="H196" s="48" t="s">
        <v>648</v>
      </c>
    </row>
    <row r="197" spans="3:9" x14ac:dyDescent="0.25">
      <c r="D197" s="23" t="str">
        <f t="shared" si="3"/>
        <v>:</v>
      </c>
      <c r="H197" s="46" t="s">
        <v>649</v>
      </c>
    </row>
    <row r="198" spans="3:9" x14ac:dyDescent="0.25">
      <c r="D198" s="23" t="str">
        <f t="shared" si="3"/>
        <v>NewTestException :</v>
      </c>
      <c r="E198" s="45" t="s">
        <v>647</v>
      </c>
      <c r="F198" s="49"/>
      <c r="H198" s="48" t="s">
        <v>649</v>
      </c>
    </row>
  </sheetData>
  <autoFilter ref="A1:A172" xr:uid="{00000000-0009-0000-0000-000003000000}"/>
  <sortState ref="E2:L172">
    <sortCondition ref="G2:G172"/>
  </sortState>
  <conditionalFormatting sqref="L1 A1:D1048576">
    <cfRule type="cellIs" dxfId="1" priority="1" operator="equal">
      <formula>"tbd"</formula>
    </cfRule>
    <cfRule type="cellIs" priority="2" operator="equal">
      <formula>"tbd"</formula>
    </cfRule>
  </conditionalFormatting>
  <dataValidations count="2">
    <dataValidation type="list" allowBlank="1" showInputMessage="1" showErrorMessage="1" sqref="K4:K21 C176 C194 C22:C77 K23:K1048576 C192 C190" xr:uid="{00000000-0002-0000-0300-000000000000}">
      <formula1>names_concepts</formula1>
    </dataValidation>
    <dataValidation type="list" allowBlank="1" showInputMessage="1" showErrorMessage="1" sqref="A2:D1048576" xr:uid="{00000000-0002-0000-0300-000001000000}">
      <formula1>names_groups</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52"/>
  <sheetViews>
    <sheetView topLeftCell="A100" workbookViewId="0">
      <selection activeCell="E101" sqref="E101"/>
    </sheetView>
  </sheetViews>
  <sheetFormatPr defaultRowHeight="15" x14ac:dyDescent="0.25"/>
  <cols>
    <col min="1" max="1" width="24.140625" customWidth="1"/>
    <col min="2" max="2" width="18.140625" customWidth="1"/>
    <col min="3" max="3" width="20.5703125" customWidth="1"/>
    <col min="4" max="4" width="34.42578125" customWidth="1"/>
    <col min="5" max="5" width="28.28515625" customWidth="1"/>
    <col min="6" max="6" width="11.7109375" customWidth="1"/>
    <col min="7" max="7" width="26.42578125" customWidth="1"/>
    <col min="8" max="8" width="18.85546875" customWidth="1"/>
  </cols>
  <sheetData>
    <row r="1" spans="1:4" x14ac:dyDescent="0.25">
      <c r="A1" t="s">
        <v>650</v>
      </c>
      <c r="B1" t="s">
        <v>651</v>
      </c>
      <c r="C1" t="s">
        <v>686</v>
      </c>
    </row>
    <row r="2" spans="1:4" x14ac:dyDescent="0.25">
      <c r="A2" t="s">
        <v>652</v>
      </c>
    </row>
    <row r="3" spans="1:4" x14ac:dyDescent="0.25">
      <c r="B3" t="s">
        <v>654</v>
      </c>
    </row>
    <row r="4" spans="1:4" x14ac:dyDescent="0.25">
      <c r="C4" t="s">
        <v>655</v>
      </c>
    </row>
    <row r="5" spans="1:4" x14ac:dyDescent="0.25">
      <c r="D5" t="s">
        <v>656</v>
      </c>
    </row>
    <row r="6" spans="1:4" x14ac:dyDescent="0.25">
      <c r="D6" t="s">
        <v>657</v>
      </c>
    </row>
    <row r="7" spans="1:4" x14ac:dyDescent="0.25">
      <c r="D7" t="s">
        <v>658</v>
      </c>
    </row>
    <row r="8" spans="1:4" x14ac:dyDescent="0.25">
      <c r="D8" t="s">
        <v>659</v>
      </c>
    </row>
    <row r="9" spans="1:4" x14ac:dyDescent="0.25">
      <c r="D9" t="s">
        <v>660</v>
      </c>
    </row>
    <row r="10" spans="1:4" x14ac:dyDescent="0.25">
      <c r="D10" t="s">
        <v>661</v>
      </c>
    </row>
    <row r="11" spans="1:4" x14ac:dyDescent="0.25">
      <c r="B11" t="s">
        <v>653</v>
      </c>
    </row>
    <row r="12" spans="1:4" x14ac:dyDescent="0.25">
      <c r="C12" t="s">
        <v>662</v>
      </c>
    </row>
    <row r="13" spans="1:4" x14ac:dyDescent="0.25">
      <c r="C13" t="s">
        <v>663</v>
      </c>
    </row>
    <row r="14" spans="1:4" x14ac:dyDescent="0.25">
      <c r="C14" t="s">
        <v>664</v>
      </c>
    </row>
    <row r="15" spans="1:4" x14ac:dyDescent="0.25">
      <c r="C15" t="s">
        <v>665</v>
      </c>
    </row>
    <row r="16" spans="1:4" x14ac:dyDescent="0.25">
      <c r="C16" t="s">
        <v>666</v>
      </c>
    </row>
    <row r="17" spans="3:6" x14ac:dyDescent="0.25">
      <c r="C17" t="s">
        <v>667</v>
      </c>
    </row>
    <row r="18" spans="3:6" x14ac:dyDescent="0.25">
      <c r="C18" t="s">
        <v>668</v>
      </c>
    </row>
    <row r="19" spans="3:6" x14ac:dyDescent="0.25">
      <c r="D19" t="s">
        <v>669</v>
      </c>
    </row>
    <row r="20" spans="3:6" x14ac:dyDescent="0.25">
      <c r="D20" t="s">
        <v>670</v>
      </c>
    </row>
    <row r="21" spans="3:6" x14ac:dyDescent="0.25">
      <c r="D21" t="s">
        <v>671</v>
      </c>
    </row>
    <row r="22" spans="3:6" x14ac:dyDescent="0.25">
      <c r="D22" t="s">
        <v>672</v>
      </c>
    </row>
    <row r="23" spans="3:6" x14ac:dyDescent="0.25">
      <c r="D23" t="s">
        <v>673</v>
      </c>
    </row>
    <row r="24" spans="3:6" x14ac:dyDescent="0.25">
      <c r="E24" t="s">
        <v>674</v>
      </c>
    </row>
    <row r="25" spans="3:6" x14ac:dyDescent="0.25">
      <c r="E25" t="s">
        <v>675</v>
      </c>
    </row>
    <row r="26" spans="3:6" x14ac:dyDescent="0.25">
      <c r="D26" t="s">
        <v>676</v>
      </c>
    </row>
    <row r="27" spans="3:6" x14ac:dyDescent="0.25">
      <c r="C27" t="s">
        <v>677</v>
      </c>
    </row>
    <row r="28" spans="3:6" x14ac:dyDescent="0.25">
      <c r="D28" t="s">
        <v>678</v>
      </c>
    </row>
    <row r="29" spans="3:6" x14ac:dyDescent="0.25">
      <c r="D29" t="s">
        <v>692</v>
      </c>
    </row>
    <row r="30" spans="3:6" x14ac:dyDescent="0.25">
      <c r="D30" t="s">
        <v>690</v>
      </c>
    </row>
    <row r="31" spans="3:6" x14ac:dyDescent="0.25">
      <c r="D31" t="s">
        <v>689</v>
      </c>
    </row>
    <row r="32" spans="3:6" x14ac:dyDescent="0.25">
      <c r="D32" t="s">
        <v>679</v>
      </c>
      <c r="E32" t="s">
        <v>680</v>
      </c>
      <c r="F32" t="s">
        <v>681</v>
      </c>
    </row>
    <row r="34" spans="2:4" x14ac:dyDescent="0.25">
      <c r="B34" t="s">
        <v>652</v>
      </c>
    </row>
    <row r="35" spans="2:4" x14ac:dyDescent="0.25">
      <c r="C35" t="s">
        <v>698</v>
      </c>
    </row>
    <row r="36" spans="2:4" x14ac:dyDescent="0.25">
      <c r="D36" t="s">
        <v>694</v>
      </c>
    </row>
    <row r="37" spans="2:4" x14ac:dyDescent="0.25">
      <c r="C37" t="s">
        <v>699</v>
      </c>
    </row>
    <row r="38" spans="2:4" x14ac:dyDescent="0.25">
      <c r="D38" t="s">
        <v>693</v>
      </c>
    </row>
    <row r="39" spans="2:4" x14ac:dyDescent="0.25">
      <c r="D39" t="s">
        <v>687</v>
      </c>
    </row>
    <row r="40" spans="2:4" x14ac:dyDescent="0.25">
      <c r="D40" t="s">
        <v>695</v>
      </c>
    </row>
    <row r="41" spans="2:4" x14ac:dyDescent="0.25">
      <c r="D41" t="s">
        <v>696</v>
      </c>
    </row>
    <row r="42" spans="2:4" x14ac:dyDescent="0.25">
      <c r="D42" t="s">
        <v>697</v>
      </c>
    </row>
    <row r="43" spans="2:4" x14ac:dyDescent="0.25">
      <c r="D43" t="s">
        <v>688</v>
      </c>
    </row>
    <row r="44" spans="2:4" x14ac:dyDescent="0.25">
      <c r="C44" t="s">
        <v>700</v>
      </c>
    </row>
    <row r="45" spans="2:4" x14ac:dyDescent="0.25">
      <c r="D45" t="s">
        <v>691</v>
      </c>
    </row>
    <row r="46" spans="2:4" x14ac:dyDescent="0.25">
      <c r="D46" t="s">
        <v>701</v>
      </c>
    </row>
    <row r="47" spans="2:4" x14ac:dyDescent="0.25">
      <c r="D47" t="s">
        <v>702</v>
      </c>
    </row>
    <row r="48" spans="2:4" x14ac:dyDescent="0.25">
      <c r="D48" t="s">
        <v>703</v>
      </c>
    </row>
    <row r="49" spans="3:9" x14ac:dyDescent="0.25">
      <c r="C49" t="s">
        <v>704</v>
      </c>
    </row>
    <row r="50" spans="3:9" x14ac:dyDescent="0.25">
      <c r="D50" t="s">
        <v>705</v>
      </c>
    </row>
    <row r="51" spans="3:9" x14ac:dyDescent="0.25">
      <c r="D51" t="s">
        <v>682</v>
      </c>
    </row>
    <row r="52" spans="3:9" x14ac:dyDescent="0.25">
      <c r="E52" t="s">
        <v>685</v>
      </c>
    </row>
    <row r="53" spans="3:9" x14ac:dyDescent="0.25">
      <c r="E53" t="s">
        <v>683</v>
      </c>
    </row>
    <row r="54" spans="3:9" x14ac:dyDescent="0.25">
      <c r="E54" s="5" t="s">
        <v>684</v>
      </c>
    </row>
    <row r="55" spans="3:9" x14ac:dyDescent="0.25">
      <c r="D55" t="s">
        <v>706</v>
      </c>
      <c r="I55" s="5" t="s">
        <v>707</v>
      </c>
    </row>
    <row r="56" spans="3:9" x14ac:dyDescent="0.25">
      <c r="D56" t="s">
        <v>708</v>
      </c>
    </row>
    <row r="57" spans="3:9" x14ac:dyDescent="0.25">
      <c r="D57" s="50" t="s">
        <v>721</v>
      </c>
    </row>
    <row r="58" spans="3:9" x14ac:dyDescent="0.25">
      <c r="E58" t="s">
        <v>723</v>
      </c>
    </row>
    <row r="59" spans="3:9" x14ac:dyDescent="0.25">
      <c r="F59" t="s">
        <v>724</v>
      </c>
    </row>
    <row r="60" spans="3:9" x14ac:dyDescent="0.25">
      <c r="F60" t="s">
        <v>725</v>
      </c>
    </row>
    <row r="61" spans="3:9" x14ac:dyDescent="0.25">
      <c r="F61" t="s">
        <v>726</v>
      </c>
    </row>
    <row r="62" spans="3:9" x14ac:dyDescent="0.25">
      <c r="F62" t="s">
        <v>727</v>
      </c>
    </row>
    <row r="63" spans="3:9" x14ac:dyDescent="0.25">
      <c r="F63" t="s">
        <v>728</v>
      </c>
    </row>
    <row r="64" spans="3:9" x14ac:dyDescent="0.25">
      <c r="F64" t="s">
        <v>729</v>
      </c>
    </row>
    <row r="65" spans="5:7" x14ac:dyDescent="0.25">
      <c r="F65" t="s">
        <v>730</v>
      </c>
    </row>
    <row r="66" spans="5:7" x14ac:dyDescent="0.25">
      <c r="E66" t="s">
        <v>737</v>
      </c>
    </row>
    <row r="67" spans="5:7" x14ac:dyDescent="0.25">
      <c r="E67" t="s">
        <v>738</v>
      </c>
    </row>
    <row r="68" spans="5:7" x14ac:dyDescent="0.25">
      <c r="F68" t="s">
        <v>731</v>
      </c>
    </row>
    <row r="69" spans="5:7" x14ac:dyDescent="0.25">
      <c r="F69" t="s">
        <v>732</v>
      </c>
    </row>
    <row r="70" spans="5:7" x14ac:dyDescent="0.25">
      <c r="F70" t="s">
        <v>733</v>
      </c>
    </row>
    <row r="71" spans="5:7" x14ac:dyDescent="0.25">
      <c r="F71" t="s">
        <v>734</v>
      </c>
    </row>
    <row r="72" spans="5:7" x14ac:dyDescent="0.25">
      <c r="F72" t="s">
        <v>735</v>
      </c>
    </row>
    <row r="73" spans="5:7" ht="15.75" customHeight="1" x14ac:dyDescent="0.25">
      <c r="F73" t="s">
        <v>736</v>
      </c>
    </row>
    <row r="74" spans="5:7" ht="15.75" customHeight="1" x14ac:dyDescent="0.25">
      <c r="E74" t="s">
        <v>739</v>
      </c>
    </row>
    <row r="75" spans="5:7" ht="15.75" customHeight="1" x14ac:dyDescent="0.25">
      <c r="F75" t="s">
        <v>675</v>
      </c>
      <c r="G75" t="s">
        <v>745</v>
      </c>
    </row>
    <row r="76" spans="5:7" ht="15.75" customHeight="1" x14ac:dyDescent="0.25">
      <c r="F76" t="s">
        <v>741</v>
      </c>
    </row>
    <row r="77" spans="5:7" ht="15.75" customHeight="1" x14ac:dyDescent="0.25">
      <c r="F77" t="s">
        <v>726</v>
      </c>
    </row>
    <row r="78" spans="5:7" ht="15.75" customHeight="1" x14ac:dyDescent="0.25">
      <c r="F78" t="s">
        <v>725</v>
      </c>
    </row>
    <row r="79" spans="5:7" ht="15.75" customHeight="1" x14ac:dyDescent="0.25">
      <c r="F79" t="s">
        <v>727</v>
      </c>
    </row>
    <row r="80" spans="5:7" ht="15.75" customHeight="1" x14ac:dyDescent="0.25">
      <c r="F80" t="s">
        <v>740</v>
      </c>
    </row>
    <row r="81" spans="4:9" ht="15.75" customHeight="1" x14ac:dyDescent="0.25">
      <c r="E81" t="s">
        <v>742</v>
      </c>
      <c r="F81" t="s">
        <v>743</v>
      </c>
    </row>
    <row r="82" spans="4:9" ht="15.75" customHeight="1" x14ac:dyDescent="0.25">
      <c r="G82" t="s">
        <v>744</v>
      </c>
    </row>
    <row r="83" spans="4:9" ht="15.75" customHeight="1" x14ac:dyDescent="0.25">
      <c r="G83" t="s">
        <v>746</v>
      </c>
    </row>
    <row r="84" spans="4:9" ht="15.75" customHeight="1" x14ac:dyDescent="0.25">
      <c r="H84" t="s">
        <v>748</v>
      </c>
    </row>
    <row r="85" spans="4:9" ht="15.75" customHeight="1" x14ac:dyDescent="0.25">
      <c r="H85" t="s">
        <v>747</v>
      </c>
    </row>
    <row r="86" spans="4:9" ht="15.75" customHeight="1" x14ac:dyDescent="0.25">
      <c r="H86" t="s">
        <v>749</v>
      </c>
    </row>
    <row r="87" spans="4:9" ht="15.75" customHeight="1" x14ac:dyDescent="0.25">
      <c r="H87" t="s">
        <v>750</v>
      </c>
    </row>
    <row r="88" spans="4:9" ht="17.25" customHeight="1" x14ac:dyDescent="0.25">
      <c r="H88" t="s">
        <v>751</v>
      </c>
    </row>
    <row r="89" spans="4:9" ht="17.25" customHeight="1" x14ac:dyDescent="0.25">
      <c r="H89" t="s">
        <v>752</v>
      </c>
      <c r="I89" t="s">
        <v>753</v>
      </c>
    </row>
    <row r="90" spans="4:9" x14ac:dyDescent="0.25">
      <c r="D90" s="50" t="s">
        <v>718</v>
      </c>
    </row>
    <row r="91" spans="4:9" x14ac:dyDescent="0.25">
      <c r="D91" s="50"/>
    </row>
    <row r="92" spans="4:9" x14ac:dyDescent="0.25">
      <c r="D92" s="50"/>
    </row>
    <row r="93" spans="4:9" x14ac:dyDescent="0.25">
      <c r="D93" s="50" t="s">
        <v>719</v>
      </c>
      <c r="I93" t="s">
        <v>714</v>
      </c>
    </row>
    <row r="94" spans="4:9" x14ac:dyDescent="0.25">
      <c r="D94" s="50"/>
    </row>
    <row r="95" spans="4:9" x14ac:dyDescent="0.25">
      <c r="D95" t="s">
        <v>722</v>
      </c>
    </row>
    <row r="97" spans="4:7" x14ac:dyDescent="0.25">
      <c r="D97" s="50" t="s">
        <v>720</v>
      </c>
    </row>
    <row r="98" spans="4:7" x14ac:dyDescent="0.25">
      <c r="D98" s="50"/>
    </row>
    <row r="99" spans="4:7" x14ac:dyDescent="0.25">
      <c r="D99" s="51" t="s">
        <v>715</v>
      </c>
    </row>
    <row r="100" spans="4:7" x14ac:dyDescent="0.25">
      <c r="E100" t="s">
        <v>787</v>
      </c>
    </row>
    <row r="101" spans="4:7" x14ac:dyDescent="0.25">
      <c r="E101" t="s">
        <v>786</v>
      </c>
    </row>
    <row r="102" spans="4:7" x14ac:dyDescent="0.25">
      <c r="E102" t="s">
        <v>772</v>
      </c>
      <c r="F102" t="s">
        <v>773</v>
      </c>
    </row>
    <row r="103" spans="4:7" x14ac:dyDescent="0.25">
      <c r="E103" t="s">
        <v>772</v>
      </c>
      <c r="F103" t="s">
        <v>774</v>
      </c>
    </row>
    <row r="104" spans="4:7" x14ac:dyDescent="0.25">
      <c r="F104" t="s">
        <v>687</v>
      </c>
    </row>
    <row r="105" spans="4:7" x14ac:dyDescent="0.25">
      <c r="F105" t="s">
        <v>728</v>
      </c>
    </row>
    <row r="106" spans="4:7" x14ac:dyDescent="0.25">
      <c r="E106" t="s">
        <v>776</v>
      </c>
    </row>
    <row r="107" spans="4:7" x14ac:dyDescent="0.25">
      <c r="F107" t="s">
        <v>777</v>
      </c>
    </row>
    <row r="108" spans="4:7" x14ac:dyDescent="0.25">
      <c r="F108" t="s">
        <v>778</v>
      </c>
    </row>
    <row r="109" spans="4:7" x14ac:dyDescent="0.25">
      <c r="F109" t="s">
        <v>173</v>
      </c>
    </row>
    <row r="110" spans="4:7" x14ac:dyDescent="0.25">
      <c r="G110" t="s">
        <v>779</v>
      </c>
    </row>
    <row r="111" spans="4:7" x14ac:dyDescent="0.25">
      <c r="G111" t="s">
        <v>780</v>
      </c>
    </row>
    <row r="112" spans="4:7" x14ac:dyDescent="0.25">
      <c r="G112" t="s">
        <v>781</v>
      </c>
    </row>
    <row r="113" spans="5:8" x14ac:dyDescent="0.25">
      <c r="G113" t="s">
        <v>782</v>
      </c>
    </row>
    <row r="114" spans="5:8" x14ac:dyDescent="0.25">
      <c r="G114" t="s">
        <v>728</v>
      </c>
    </row>
    <row r="115" spans="5:8" x14ac:dyDescent="0.25">
      <c r="E115" t="s">
        <v>783</v>
      </c>
    </row>
    <row r="116" spans="5:8" x14ac:dyDescent="0.25">
      <c r="E116" t="s">
        <v>784</v>
      </c>
    </row>
    <row r="126" spans="5:8" x14ac:dyDescent="0.25">
      <c r="E126" t="s">
        <v>775</v>
      </c>
    </row>
    <row r="127" spans="5:8" x14ac:dyDescent="0.25">
      <c r="E127" t="s">
        <v>704</v>
      </c>
      <c r="F127" t="s">
        <v>755</v>
      </c>
      <c r="H127" t="s">
        <v>760</v>
      </c>
    </row>
    <row r="128" spans="5:8" x14ac:dyDescent="0.25">
      <c r="F128" t="s">
        <v>754</v>
      </c>
      <c r="G128" t="s">
        <v>759</v>
      </c>
    </row>
    <row r="129" spans="6:7" x14ac:dyDescent="0.25">
      <c r="F129" t="s">
        <v>756</v>
      </c>
    </row>
    <row r="130" spans="6:7" x14ac:dyDescent="0.25">
      <c r="F130" t="s">
        <v>757</v>
      </c>
    </row>
    <row r="131" spans="6:7" x14ac:dyDescent="0.25">
      <c r="F131" s="5" t="s">
        <v>758</v>
      </c>
    </row>
    <row r="132" spans="6:7" x14ac:dyDescent="0.25">
      <c r="F132" t="s">
        <v>761</v>
      </c>
    </row>
    <row r="133" spans="6:7" x14ac:dyDescent="0.25">
      <c r="F133" t="s">
        <v>763</v>
      </c>
    </row>
    <row r="134" spans="6:7" x14ac:dyDescent="0.25">
      <c r="F134" t="s">
        <v>762</v>
      </c>
    </row>
    <row r="135" spans="6:7" x14ac:dyDescent="0.25">
      <c r="F135" t="s">
        <v>764</v>
      </c>
      <c r="G135" t="s">
        <v>767</v>
      </c>
    </row>
    <row r="136" spans="6:7" x14ac:dyDescent="0.25">
      <c r="F136" t="s">
        <v>765</v>
      </c>
      <c r="G136" t="s">
        <v>768</v>
      </c>
    </row>
    <row r="137" spans="6:7" x14ac:dyDescent="0.25">
      <c r="F137" t="s">
        <v>766</v>
      </c>
      <c r="G137" t="s">
        <v>769</v>
      </c>
    </row>
    <row r="138" spans="6:7" x14ac:dyDescent="0.25">
      <c r="F138" t="s">
        <v>770</v>
      </c>
    </row>
    <row r="139" spans="6:7" x14ac:dyDescent="0.25">
      <c r="F139" t="s">
        <v>771</v>
      </c>
    </row>
    <row r="140" spans="6:7" x14ac:dyDescent="0.25">
      <c r="F140" t="s">
        <v>785</v>
      </c>
    </row>
    <row r="145" spans="3:4" x14ac:dyDescent="0.25">
      <c r="D145" t="s">
        <v>709</v>
      </c>
    </row>
    <row r="146" spans="3:4" x14ac:dyDescent="0.25">
      <c r="D146" t="s">
        <v>710</v>
      </c>
    </row>
    <row r="147" spans="3:4" x14ac:dyDescent="0.25">
      <c r="D147" t="s">
        <v>711</v>
      </c>
    </row>
    <row r="148" spans="3:4" x14ac:dyDescent="0.25">
      <c r="D148" t="s">
        <v>712</v>
      </c>
    </row>
    <row r="149" spans="3:4" x14ac:dyDescent="0.25">
      <c r="D149" t="s">
        <v>713</v>
      </c>
    </row>
    <row r="150" spans="3:4" x14ac:dyDescent="0.25">
      <c r="C150" s="50" t="s">
        <v>716</v>
      </c>
    </row>
    <row r="152" spans="3:4" x14ac:dyDescent="0.25">
      <c r="C152" s="50" t="s">
        <v>717</v>
      </c>
    </row>
  </sheetData>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30"/>
  <sheetViews>
    <sheetView workbookViewId="0">
      <selection activeCell="B31" sqref="B31"/>
    </sheetView>
  </sheetViews>
  <sheetFormatPr defaultRowHeight="15" x14ac:dyDescent="0.25"/>
  <cols>
    <col min="1" max="1" width="12.85546875" customWidth="1"/>
    <col min="2" max="2" width="65.42578125" style="18" customWidth="1"/>
    <col min="3" max="3" width="14.42578125" style="12" customWidth="1"/>
    <col min="4" max="4" width="77" customWidth="1"/>
  </cols>
  <sheetData>
    <row r="1" spans="1:5" x14ac:dyDescent="0.25">
      <c r="A1" t="s">
        <v>533</v>
      </c>
      <c r="B1" s="18" t="s">
        <v>475</v>
      </c>
      <c r="D1" s="10" t="s">
        <v>534</v>
      </c>
    </row>
    <row r="2" spans="1:5" x14ac:dyDescent="0.25">
      <c r="B2" s="19" t="s">
        <v>484</v>
      </c>
      <c r="C2" s="13" t="s">
        <v>485</v>
      </c>
      <c r="D2" s="10" t="s">
        <v>483</v>
      </c>
    </row>
    <row r="3" spans="1:5" x14ac:dyDescent="0.25">
      <c r="B3" s="19" t="s">
        <v>486</v>
      </c>
      <c r="C3" s="13" t="s">
        <v>487</v>
      </c>
      <c r="D3" s="10" t="s">
        <v>488</v>
      </c>
    </row>
    <row r="4" spans="1:5" x14ac:dyDescent="0.25">
      <c r="B4" s="19" t="s">
        <v>489</v>
      </c>
      <c r="C4" s="14">
        <v>42899</v>
      </c>
      <c r="D4" s="10" t="s">
        <v>490</v>
      </c>
    </row>
    <row r="5" spans="1:5" x14ac:dyDescent="0.25">
      <c r="B5" s="19" t="s">
        <v>491</v>
      </c>
      <c r="C5" s="14">
        <v>42891</v>
      </c>
      <c r="D5" s="10" t="s">
        <v>492</v>
      </c>
    </row>
    <row r="6" spans="1:5" x14ac:dyDescent="0.25">
      <c r="B6" s="19" t="s">
        <v>493</v>
      </c>
      <c r="C6" s="13" t="s">
        <v>494</v>
      </c>
      <c r="D6" s="10" t="s">
        <v>495</v>
      </c>
    </row>
    <row r="7" spans="1:5" x14ac:dyDescent="0.25">
      <c r="B7" s="19" t="s">
        <v>496</v>
      </c>
      <c r="C7" s="10" t="s">
        <v>498</v>
      </c>
      <c r="D7" s="10" t="s">
        <v>497</v>
      </c>
    </row>
    <row r="8" spans="1:5" x14ac:dyDescent="0.25">
      <c r="B8" s="19" t="s">
        <v>499</v>
      </c>
      <c r="C8" s="10" t="s">
        <v>500</v>
      </c>
      <c r="D8" s="10" t="s">
        <v>501</v>
      </c>
    </row>
    <row r="9" spans="1:5" x14ac:dyDescent="0.25">
      <c r="B9" s="19" t="s">
        <v>502</v>
      </c>
      <c r="C9" s="10" t="s">
        <v>503</v>
      </c>
      <c r="D9" s="10" t="s">
        <v>504</v>
      </c>
    </row>
    <row r="10" spans="1:5" x14ac:dyDescent="0.25">
      <c r="B10" s="19" t="s">
        <v>506</v>
      </c>
      <c r="C10" s="10" t="s">
        <v>505</v>
      </c>
      <c r="D10" s="10" t="s">
        <v>509</v>
      </c>
      <c r="E10" t="s">
        <v>510</v>
      </c>
    </row>
    <row r="11" spans="1:5" ht="13.5" customHeight="1" x14ac:dyDescent="0.25">
      <c r="B11" s="19" t="s">
        <v>508</v>
      </c>
      <c r="C11" s="10" t="s">
        <v>503</v>
      </c>
      <c r="D11" s="17" t="s">
        <v>507</v>
      </c>
    </row>
    <row r="12" spans="1:5" ht="31.5" x14ac:dyDescent="0.25">
      <c r="B12" s="11" t="s">
        <v>511</v>
      </c>
      <c r="C12" s="10" t="s">
        <v>512</v>
      </c>
      <c r="D12" s="10" t="s">
        <v>513</v>
      </c>
    </row>
    <row r="13" spans="1:5" ht="31.5" x14ac:dyDescent="0.25">
      <c r="B13" s="11" t="s">
        <v>516</v>
      </c>
      <c r="C13" s="10" t="s">
        <v>515</v>
      </c>
      <c r="D13" s="10" t="s">
        <v>514</v>
      </c>
    </row>
    <row r="14" spans="1:5" ht="31.5" x14ac:dyDescent="0.25">
      <c r="B14" s="11" t="s">
        <v>517</v>
      </c>
      <c r="C14" s="10" t="s">
        <v>518</v>
      </c>
      <c r="D14" s="10" t="s">
        <v>519</v>
      </c>
    </row>
    <row r="15" spans="1:5" ht="31.5" x14ac:dyDescent="0.25">
      <c r="B15" s="11" t="s">
        <v>520</v>
      </c>
      <c r="C15" s="10" t="s">
        <v>521</v>
      </c>
      <c r="D15" s="10" t="s">
        <v>522</v>
      </c>
    </row>
    <row r="16" spans="1:5" ht="31.5" x14ac:dyDescent="0.25">
      <c r="B16" s="11" t="s">
        <v>523</v>
      </c>
      <c r="C16" s="10" t="s">
        <v>524</v>
      </c>
      <c r="D16" s="10" t="s">
        <v>525</v>
      </c>
    </row>
    <row r="17" spans="1:5" ht="31.5" x14ac:dyDescent="0.25">
      <c r="B17" s="11" t="s">
        <v>526</v>
      </c>
      <c r="C17" s="10" t="s">
        <v>527</v>
      </c>
      <c r="D17" s="10" t="s">
        <v>528</v>
      </c>
    </row>
    <row r="18" spans="1:5" x14ac:dyDescent="0.25">
      <c r="B18" s="20" t="s">
        <v>477</v>
      </c>
      <c r="C18" s="15">
        <v>42934</v>
      </c>
      <c r="D18" s="10" t="s">
        <v>476</v>
      </c>
    </row>
    <row r="19" spans="1:5" x14ac:dyDescent="0.25">
      <c r="B19" s="20" t="s">
        <v>478</v>
      </c>
      <c r="C19" s="16" t="s">
        <v>479</v>
      </c>
      <c r="D19" s="10" t="s">
        <v>480</v>
      </c>
    </row>
    <row r="20" spans="1:5" ht="31.5" x14ac:dyDescent="0.25">
      <c r="B20" s="11" t="s">
        <v>529</v>
      </c>
      <c r="C20" s="10" t="s">
        <v>530</v>
      </c>
      <c r="D20" s="10" t="s">
        <v>531</v>
      </c>
    </row>
    <row r="21" spans="1:5" x14ac:dyDescent="0.25">
      <c r="B21" s="20" t="s">
        <v>481</v>
      </c>
      <c r="C21" s="15">
        <v>42697</v>
      </c>
      <c r="D21" s="10" t="s">
        <v>482</v>
      </c>
    </row>
    <row r="22" spans="1:5" ht="31.5" x14ac:dyDescent="0.25">
      <c r="A22" t="s">
        <v>536</v>
      </c>
      <c r="B22" s="11"/>
      <c r="C22" s="10"/>
      <c r="D22" s="10" t="s">
        <v>535</v>
      </c>
    </row>
    <row r="23" spans="1:5" ht="31.5" x14ac:dyDescent="0.25">
      <c r="B23" s="11" t="s">
        <v>537</v>
      </c>
      <c r="C23" s="10"/>
      <c r="D23" s="10" t="s">
        <v>538</v>
      </c>
    </row>
    <row r="24" spans="1:5" ht="31.5" x14ac:dyDescent="0.25">
      <c r="B24" s="11" t="s">
        <v>539</v>
      </c>
      <c r="C24" s="10"/>
      <c r="D24" s="10" t="s">
        <v>532</v>
      </c>
      <c r="E24" s="8" t="s">
        <v>540</v>
      </c>
    </row>
    <row r="25" spans="1:5" ht="31.5" x14ac:dyDescent="0.25">
      <c r="B25" s="11" t="s">
        <v>542</v>
      </c>
      <c r="C25" s="10"/>
      <c r="D25" s="10" t="s">
        <v>541</v>
      </c>
    </row>
    <row r="26" spans="1:5" ht="18.75" x14ac:dyDescent="0.3">
      <c r="B26" s="21" t="s">
        <v>544</v>
      </c>
      <c r="C26" s="10"/>
      <c r="D26" s="10" t="s">
        <v>543</v>
      </c>
    </row>
    <row r="27" spans="1:5" ht="18.75" x14ac:dyDescent="0.3">
      <c r="B27" s="21" t="s">
        <v>545</v>
      </c>
      <c r="D27" s="10" t="s">
        <v>546</v>
      </c>
    </row>
    <row r="28" spans="1:5" ht="18.75" x14ac:dyDescent="0.3">
      <c r="B28" s="21" t="s">
        <v>548</v>
      </c>
      <c r="D28" s="10" t="s">
        <v>547</v>
      </c>
    </row>
    <row r="29" spans="1:5" ht="18.75" x14ac:dyDescent="0.3">
      <c r="B29" s="21" t="s">
        <v>550</v>
      </c>
      <c r="D29" s="10" t="s">
        <v>549</v>
      </c>
    </row>
    <row r="30" spans="1:5" x14ac:dyDescent="0.25">
      <c r="B30" s="18" t="s">
        <v>552</v>
      </c>
      <c r="D30" t="s">
        <v>551</v>
      </c>
    </row>
  </sheetData>
  <hyperlinks>
    <hyperlink ref="D18" r:id="rId1" xr:uid="{00000000-0004-0000-0500-000000000000}"/>
    <hyperlink ref="C2" r:id="rId2" display="https://applitools.atlassian.net/wiki/pages/diffpagesbyversion.action?pageId=1540312&amp;selectedPageVersions=124&amp;selectedPageVersions=125" xr:uid="{00000000-0004-0000-0500-000001000000}"/>
    <hyperlink ref="C3" r:id="rId3" display="https://applitools.atlassian.net/wiki/pages/diffpagesbyversion.action?pageId=1540753&amp;selectedPageVersions=83&amp;selectedPageVersions=84" xr:uid="{00000000-0004-0000-0500-000002000000}"/>
    <hyperlink ref="D2" r:id="rId4" xr:uid="{00000000-0004-0000-0500-000003000000}"/>
    <hyperlink ref="D3" r:id="rId5" xr:uid="{00000000-0004-0000-0500-000004000000}"/>
    <hyperlink ref="D21" r:id="rId6" xr:uid="{00000000-0004-0000-0500-000005000000}"/>
    <hyperlink ref="D19" r:id="rId7" xr:uid="{00000000-0004-0000-0500-000006000000}"/>
    <hyperlink ref="C4" r:id="rId8" display="https://applitools.atlassian.net/wiki/pages/diffpagesbyversion.action?pageId=1540306&amp;selectedPageVersions=68&amp;selectedPageVersions=69" xr:uid="{00000000-0004-0000-0500-000007000000}"/>
    <hyperlink ref="D4" r:id="rId9" xr:uid="{00000000-0004-0000-0500-000008000000}"/>
    <hyperlink ref="C5" r:id="rId10" display="https://applitools.atlassian.net/wiki/pages/diffpagesbyversion.action?pageId=1540146&amp;selectedPageVersions=46&amp;selectedPageVersions=47" xr:uid="{00000000-0004-0000-0500-000009000000}"/>
    <hyperlink ref="D5" r:id="rId11" xr:uid="{00000000-0004-0000-0500-00000A000000}"/>
    <hyperlink ref="C6" r:id="rId12" display="https://applitools.atlassian.net/wiki/pages/diffpagesbyversion.action?pageId=1540328&amp;selectedPageVersions=46&amp;selectedPageVersions=47" xr:uid="{00000000-0004-0000-0500-00000B000000}"/>
    <hyperlink ref="D6" r:id="rId13" xr:uid="{00000000-0004-0000-0500-00000C000000}"/>
    <hyperlink ref="C7" r:id="rId14" display="https://applitools.atlassian.net/wiki/pages/diffpagesbyversion.action?pageId=1540331&amp;selectedPageVersions=46&amp;selectedPageVersions=47" xr:uid="{00000000-0004-0000-0500-00000D000000}"/>
    <hyperlink ref="C8" r:id="rId15" display="https://applitools.atlassian.net/wiki/pages/diffpagesbyversion.action?pageId=1540547&amp;selectedPageVersions=34&amp;selectedPageVersions=35" xr:uid="{00000000-0004-0000-0500-00000E000000}"/>
    <hyperlink ref="D8" r:id="rId16" xr:uid="{00000000-0004-0000-0500-00000F000000}"/>
    <hyperlink ref="D7" r:id="rId17" xr:uid="{00000000-0004-0000-0500-000010000000}"/>
    <hyperlink ref="C9" r:id="rId18" display="https://applitools.atlassian.net/wiki/pages/diffpagesbyversion.action?pageId=1540679&amp;selectedPageVersions=14&amp;selectedPageVersions=15" xr:uid="{00000000-0004-0000-0500-000011000000}"/>
    <hyperlink ref="D9" r:id="rId19" xr:uid="{00000000-0004-0000-0500-000012000000}"/>
    <hyperlink ref="D10" r:id="rId20" xr:uid="{00000000-0004-0000-0500-000013000000}"/>
    <hyperlink ref="C10" r:id="rId21" display="https://applitools.atlassian.net/wiki/pages/diffpagesbyversion.action?pageId=1540547&amp;selectedPageVersions=34&amp;selectedPageVersions=35" xr:uid="{00000000-0004-0000-0500-000014000000}"/>
    <hyperlink ref="D11" r:id="rId22" xr:uid="{00000000-0004-0000-0500-000015000000}"/>
    <hyperlink ref="C11" r:id="rId23" display="https://applitools.atlassian.net/wiki/pages/diffpagesbyversion.action?pageId=1540300&amp;selectedPageVersions=24&amp;selectedPageVersions=25" xr:uid="{00000000-0004-0000-0500-000016000000}"/>
    <hyperlink ref="C12" r:id="rId24" display="https://applitools.atlassian.net/wiki/pages/diffpagesbyversion.action?pageId=1540511&amp;selectedPageVersions=15&amp;selectedPageVersions=16" xr:uid="{00000000-0004-0000-0500-000017000000}"/>
    <hyperlink ref="D12" r:id="rId25" xr:uid="{00000000-0004-0000-0500-000018000000}"/>
    <hyperlink ref="D13" r:id="rId26" xr:uid="{00000000-0004-0000-0500-000019000000}"/>
    <hyperlink ref="C13" r:id="rId27" display="https://applitools.atlassian.net/wiki/pages/diffpagesbyversion.action?pageId=1540499&amp;selectedPageVersions=5&amp;selectedPageVersions=6" xr:uid="{00000000-0004-0000-0500-00001A000000}"/>
    <hyperlink ref="C14" r:id="rId28" display="https://applitools.atlassian.net/wiki/pages/diffpagesbyversion.action?pageId=1540487&amp;selectedPageVersions=15&amp;selectedPageVersions=16" xr:uid="{00000000-0004-0000-0500-00001B000000}"/>
    <hyperlink ref="D14" r:id="rId29" xr:uid="{00000000-0004-0000-0500-00001C000000}"/>
    <hyperlink ref="C15" r:id="rId30" display="https://applitools.atlassian.net/wiki/pages/diffpagesbyversion.action?pageId=1540579&amp;selectedPageVersions=12&amp;selectedPageVersions=13" xr:uid="{00000000-0004-0000-0500-00001D000000}"/>
    <hyperlink ref="D15" r:id="rId31" xr:uid="{00000000-0004-0000-0500-00001E000000}"/>
    <hyperlink ref="C16" r:id="rId32" display="https://applitools.atlassian.net/wiki/pages/diffpagesbyversion.action?pageId=1540573&amp;selectedPageVersions=12&amp;selectedPageVersions=13" xr:uid="{00000000-0004-0000-0500-00001F000000}"/>
    <hyperlink ref="D16" r:id="rId33" xr:uid="{00000000-0004-0000-0500-000020000000}"/>
    <hyperlink ref="C17" r:id="rId34" display="https://applitools.atlassian.net/wiki/pages/diffpagesbyversion.action?pageId=1540555&amp;selectedPageVersions=26&amp;selectedPageVersions=27" xr:uid="{00000000-0004-0000-0500-000021000000}"/>
    <hyperlink ref="D17" r:id="rId35" xr:uid="{00000000-0004-0000-0500-000022000000}"/>
    <hyperlink ref="C20" r:id="rId36" display="https://applitools.atlassian.net/wiki/pages/diffpagesbyversion.action?pageId=1540560&amp;selectedPageVersions=13&amp;selectedPageVersions=14" xr:uid="{00000000-0004-0000-0500-000023000000}"/>
    <hyperlink ref="D20" r:id="rId37" xr:uid="{00000000-0004-0000-0500-000024000000}"/>
    <hyperlink ref="D1" r:id="rId38" xr:uid="{00000000-0004-0000-0500-000025000000}"/>
    <hyperlink ref="D22" r:id="rId39" xr:uid="{00000000-0004-0000-0500-000026000000}"/>
    <hyperlink ref="D23" r:id="rId40" xr:uid="{00000000-0004-0000-0500-000027000000}"/>
    <hyperlink ref="D24" r:id="rId41" xr:uid="{00000000-0004-0000-0500-000028000000}"/>
    <hyperlink ref="D25" r:id="rId42" xr:uid="{00000000-0004-0000-0500-000029000000}"/>
    <hyperlink ref="D26" r:id="rId43" display="https://applitools.com/resources/tutorial/selenium/javascript" xr:uid="{00000000-0004-0000-0500-00002A000000}"/>
    <hyperlink ref="D27" r:id="rId44" display="https://applitools.com/resources/tutorial/selenium/dotnet" xr:uid="{00000000-0004-0000-0500-00002B000000}"/>
    <hyperlink ref="D28" r:id="rId45" display="https://applitools.com/resources/tutorial/selenium/php" xr:uid="{00000000-0004-0000-0500-00002C000000}"/>
    <hyperlink ref="D29" r:id="rId46" display="https://applitools.com/resources/tutorial/selenium/python" xr:uid="{00000000-0004-0000-0500-00002D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51"/>
  <sheetViews>
    <sheetView workbookViewId="0">
      <selection activeCell="B2" sqref="B2"/>
    </sheetView>
  </sheetViews>
  <sheetFormatPr defaultRowHeight="15" x14ac:dyDescent="0.25"/>
  <cols>
    <col min="1" max="2" width="18.140625" customWidth="1"/>
    <col min="3" max="3" width="68.85546875" customWidth="1"/>
  </cols>
  <sheetData>
    <row r="1" spans="1:8" x14ac:dyDescent="0.25">
      <c r="A1" s="6" t="s">
        <v>129</v>
      </c>
      <c r="B1" s="6"/>
      <c r="C1" t="s">
        <v>204</v>
      </c>
    </row>
    <row r="2" spans="1:8" x14ac:dyDescent="0.25">
      <c r="B2" s="6" t="s">
        <v>553</v>
      </c>
    </row>
    <row r="3" spans="1:8" x14ac:dyDescent="0.25">
      <c r="A3" s="6" t="s">
        <v>212</v>
      </c>
      <c r="B3" s="6"/>
      <c r="C3" t="s">
        <v>205</v>
      </c>
      <c r="H3" t="str">
        <f>groups!A11</f>
        <v>z_internal</v>
      </c>
    </row>
    <row r="4" spans="1:8" x14ac:dyDescent="0.25">
      <c r="A4" s="6" t="s">
        <v>213</v>
      </c>
      <c r="B4" s="6"/>
      <c r="C4" t="s">
        <v>206</v>
      </c>
    </row>
    <row r="5" spans="1:8" x14ac:dyDescent="0.25">
      <c r="A5" s="6" t="s">
        <v>472</v>
      </c>
      <c r="B5" s="6"/>
      <c r="C5" t="s">
        <v>207</v>
      </c>
    </row>
    <row r="6" spans="1:8" x14ac:dyDescent="0.25">
      <c r="A6" s="6" t="s">
        <v>470</v>
      </c>
      <c r="B6" s="6"/>
    </row>
    <row r="7" spans="1:8" x14ac:dyDescent="0.25">
      <c r="A7" s="6" t="s">
        <v>471</v>
      </c>
      <c r="B7" s="6"/>
      <c r="C7" t="s">
        <v>214</v>
      </c>
    </row>
    <row r="8" spans="1:8" x14ac:dyDescent="0.25">
      <c r="A8" s="5" t="s">
        <v>456</v>
      </c>
      <c r="B8" s="5"/>
    </row>
    <row r="9" spans="1:8" x14ac:dyDescent="0.25">
      <c r="A9" s="6" t="s">
        <v>469</v>
      </c>
      <c r="B9" s="6"/>
    </row>
    <row r="10" spans="1:8" x14ac:dyDescent="0.25">
      <c r="A10" s="6" t="s">
        <v>468</v>
      </c>
      <c r="B10" s="6"/>
    </row>
    <row r="11" spans="1:8" x14ac:dyDescent="0.25">
      <c r="A11" s="6" t="s">
        <v>467</v>
      </c>
      <c r="B11" s="6"/>
    </row>
    <row r="12" spans="1:8" x14ac:dyDescent="0.25">
      <c r="A12" s="6" t="s">
        <v>466</v>
      </c>
      <c r="B12" s="6"/>
    </row>
    <row r="13" spans="1:8" x14ac:dyDescent="0.25">
      <c r="A13" s="5"/>
      <c r="B13" s="5"/>
    </row>
    <row r="14" spans="1:8" x14ac:dyDescent="0.25">
      <c r="A14" s="5"/>
      <c r="B14" s="5"/>
    </row>
    <row r="15" spans="1:8" x14ac:dyDescent="0.25">
      <c r="A15" s="5"/>
      <c r="B15" s="5"/>
    </row>
    <row r="16" spans="1:8" x14ac:dyDescent="0.25">
      <c r="A16" s="5"/>
      <c r="B16" s="5"/>
    </row>
    <row r="17" spans="1:2" x14ac:dyDescent="0.25">
      <c r="A17" s="5"/>
      <c r="B17" s="5"/>
    </row>
    <row r="18" spans="1:2" x14ac:dyDescent="0.25">
      <c r="A18" s="5"/>
      <c r="B18" s="5"/>
    </row>
    <row r="19" spans="1:2" x14ac:dyDescent="0.25">
      <c r="A19" s="5"/>
      <c r="B19" s="5"/>
    </row>
    <row r="20" spans="1:2" x14ac:dyDescent="0.25">
      <c r="A20" s="5"/>
      <c r="B20" s="5"/>
    </row>
    <row r="21" spans="1:2" x14ac:dyDescent="0.25">
      <c r="A21" s="5"/>
      <c r="B21" s="5"/>
    </row>
    <row r="22" spans="1:2" x14ac:dyDescent="0.25">
      <c r="A22" s="5"/>
      <c r="B22" s="5"/>
    </row>
    <row r="23" spans="1:2" x14ac:dyDescent="0.25">
      <c r="A23" s="5"/>
      <c r="B23" s="5"/>
    </row>
    <row r="24" spans="1:2" x14ac:dyDescent="0.25">
      <c r="A24" s="5"/>
      <c r="B24" s="5"/>
    </row>
    <row r="25" spans="1:2" x14ac:dyDescent="0.25">
      <c r="A25" s="5"/>
      <c r="B25" s="5"/>
    </row>
    <row r="26" spans="1:2" x14ac:dyDescent="0.25">
      <c r="A26" s="5"/>
      <c r="B26" s="5"/>
    </row>
    <row r="27" spans="1:2" x14ac:dyDescent="0.25">
      <c r="A27" s="5"/>
      <c r="B27" s="5"/>
    </row>
    <row r="28" spans="1:2" x14ac:dyDescent="0.25">
      <c r="A28" s="5"/>
      <c r="B28" s="5"/>
    </row>
    <row r="29" spans="1:2" x14ac:dyDescent="0.25">
      <c r="A29" s="5"/>
      <c r="B29" s="5"/>
    </row>
    <row r="30" spans="1:2" x14ac:dyDescent="0.25">
      <c r="A30" s="5"/>
      <c r="B30" s="5"/>
    </row>
    <row r="31" spans="1:2" x14ac:dyDescent="0.25">
      <c r="A31" s="5"/>
      <c r="B31" s="5"/>
    </row>
    <row r="32" spans="1:2" x14ac:dyDescent="0.25">
      <c r="A32" s="5"/>
      <c r="B32" s="5"/>
    </row>
    <row r="33" spans="1:2" x14ac:dyDescent="0.25">
      <c r="A33" s="5"/>
      <c r="B33" s="5"/>
    </row>
    <row r="34" spans="1:2" x14ac:dyDescent="0.25">
      <c r="A34" s="5"/>
      <c r="B34" s="5"/>
    </row>
    <row r="35" spans="1:2" x14ac:dyDescent="0.25">
      <c r="A35" s="5"/>
      <c r="B35" s="5"/>
    </row>
    <row r="36" spans="1:2" x14ac:dyDescent="0.25">
      <c r="A36" s="5"/>
      <c r="B36" s="5"/>
    </row>
    <row r="37" spans="1:2" x14ac:dyDescent="0.25">
      <c r="A37" s="5"/>
      <c r="B37" s="5"/>
    </row>
    <row r="38" spans="1:2" x14ac:dyDescent="0.25">
      <c r="A38" s="5"/>
      <c r="B38" s="5"/>
    </row>
    <row r="39" spans="1:2" x14ac:dyDescent="0.25">
      <c r="A39" s="5"/>
      <c r="B39" s="5"/>
    </row>
    <row r="40" spans="1:2" x14ac:dyDescent="0.25">
      <c r="A40" s="5"/>
      <c r="B40" s="5"/>
    </row>
    <row r="41" spans="1:2" x14ac:dyDescent="0.25">
      <c r="A41" s="5"/>
      <c r="B41" s="5"/>
    </row>
    <row r="42" spans="1:2" x14ac:dyDescent="0.25">
      <c r="A42" s="5"/>
      <c r="B42" s="5"/>
    </row>
    <row r="43" spans="1:2" x14ac:dyDescent="0.25">
      <c r="A43" s="5"/>
      <c r="B43" s="5"/>
    </row>
    <row r="44" spans="1:2" x14ac:dyDescent="0.25">
      <c r="A44" s="5"/>
      <c r="B44" s="5"/>
    </row>
    <row r="45" spans="1:2" x14ac:dyDescent="0.25">
      <c r="A45" s="5"/>
      <c r="B45" s="5"/>
    </row>
    <row r="46" spans="1:2" x14ac:dyDescent="0.25">
      <c r="A46" s="5"/>
      <c r="B46" s="5"/>
    </row>
    <row r="47" spans="1:2" x14ac:dyDescent="0.25">
      <c r="A47" s="5"/>
      <c r="B47" s="5"/>
    </row>
    <row r="48" spans="1:2" x14ac:dyDescent="0.25">
      <c r="A48" s="5"/>
      <c r="B48" s="5"/>
    </row>
    <row r="49" spans="1:2" x14ac:dyDescent="0.25">
      <c r="A49" s="5"/>
      <c r="B49" s="5"/>
    </row>
    <row r="50" spans="1:2" x14ac:dyDescent="0.25">
      <c r="A50" s="5"/>
      <c r="B50" s="5"/>
    </row>
    <row r="51" spans="1:2" x14ac:dyDescent="0.25">
      <c r="A51" s="5"/>
      <c r="B51"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D37"/>
  <sheetViews>
    <sheetView workbookViewId="0">
      <selection activeCell="B8" sqref="B8"/>
    </sheetView>
  </sheetViews>
  <sheetFormatPr defaultRowHeight="15" x14ac:dyDescent="0.25"/>
  <cols>
    <col min="1" max="1" width="38.28515625" customWidth="1"/>
    <col min="2" max="2" width="74" customWidth="1"/>
    <col min="3" max="3" width="27.140625" bestFit="1" customWidth="1"/>
    <col min="4" max="4" width="17.7109375" customWidth="1"/>
  </cols>
  <sheetData>
    <row r="1" spans="1:3" x14ac:dyDescent="0.25">
      <c r="A1" t="s">
        <v>142</v>
      </c>
    </row>
    <row r="2" spans="1:3" x14ac:dyDescent="0.25">
      <c r="A2" t="s">
        <v>141</v>
      </c>
      <c r="B2" s="2"/>
      <c r="C2" s="1"/>
    </row>
    <row r="3" spans="1:3" x14ac:dyDescent="0.25">
      <c r="A3" t="s">
        <v>155</v>
      </c>
      <c r="C3" s="3"/>
    </row>
    <row r="4" spans="1:3" x14ac:dyDescent="0.25">
      <c r="A4" t="s">
        <v>156</v>
      </c>
      <c r="C4" s="3"/>
    </row>
    <row r="5" spans="1:3" x14ac:dyDescent="0.25">
      <c r="A5" t="s">
        <v>157</v>
      </c>
      <c r="C5" s="1"/>
    </row>
    <row r="6" spans="1:3" x14ac:dyDescent="0.25">
      <c r="A6" t="s">
        <v>159</v>
      </c>
      <c r="C6" s="1"/>
    </row>
    <row r="7" spans="1:3" x14ac:dyDescent="0.25">
      <c r="A7" t="s">
        <v>162</v>
      </c>
      <c r="C7" s="1"/>
    </row>
    <row r="8" spans="1:3" x14ac:dyDescent="0.25">
      <c r="A8" s="1" t="s">
        <v>164</v>
      </c>
      <c r="B8" s="23"/>
      <c r="C8" s="1"/>
    </row>
    <row r="9" spans="1:3" x14ac:dyDescent="0.25">
      <c r="A9" t="s">
        <v>166</v>
      </c>
      <c r="C9" s="1"/>
    </row>
    <row r="10" spans="1:3" x14ac:dyDescent="0.25">
      <c r="A10" t="s">
        <v>170</v>
      </c>
      <c r="C10" s="1"/>
    </row>
    <row r="11" spans="1:3" x14ac:dyDescent="0.25">
      <c r="A11" t="s">
        <v>171</v>
      </c>
      <c r="C11" s="1"/>
    </row>
    <row r="12" spans="1:3" x14ac:dyDescent="0.25">
      <c r="A12" t="s">
        <v>176</v>
      </c>
      <c r="C12" s="1"/>
    </row>
    <row r="13" spans="1:3" x14ac:dyDescent="0.25">
      <c r="A13" t="s">
        <v>178</v>
      </c>
      <c r="C13" s="1"/>
    </row>
    <row r="14" spans="1:3" x14ac:dyDescent="0.25">
      <c r="A14" s="1" t="s">
        <v>179</v>
      </c>
      <c r="B14" s="4" t="s">
        <v>180</v>
      </c>
      <c r="C14" s="1" t="s">
        <v>181</v>
      </c>
    </row>
    <row r="15" spans="1:3" x14ac:dyDescent="0.25">
      <c r="A15" s="1" t="s">
        <v>1</v>
      </c>
      <c r="B15" s="4" t="s">
        <v>182</v>
      </c>
      <c r="C15" s="1"/>
    </row>
    <row r="16" spans="1:3" x14ac:dyDescent="0.25">
      <c r="A16" t="s">
        <v>193</v>
      </c>
      <c r="C16" s="1"/>
    </row>
    <row r="17" spans="1:4" x14ac:dyDescent="0.25">
      <c r="A17" t="s">
        <v>0</v>
      </c>
      <c r="C17" s="1"/>
    </row>
    <row r="18" spans="1:4" x14ac:dyDescent="0.25">
      <c r="A18" t="s">
        <v>156</v>
      </c>
      <c r="C18" s="1"/>
      <c r="D18" s="1"/>
    </row>
    <row r="19" spans="1:4" x14ac:dyDescent="0.25">
      <c r="A19" t="s">
        <v>2</v>
      </c>
      <c r="C19" s="1"/>
      <c r="D19" s="1"/>
    </row>
    <row r="20" spans="1:4" x14ac:dyDescent="0.25">
      <c r="A20" t="s">
        <v>196</v>
      </c>
      <c r="C20" s="1"/>
    </row>
    <row r="21" spans="1:4" x14ac:dyDescent="0.25">
      <c r="A21" t="s">
        <v>197</v>
      </c>
      <c r="C21" s="1"/>
    </row>
    <row r="22" spans="1:4" x14ac:dyDescent="0.25">
      <c r="A22" t="s">
        <v>198</v>
      </c>
      <c r="C22" s="1"/>
    </row>
    <row r="23" spans="1:4" x14ac:dyDescent="0.25">
      <c r="A23" t="s">
        <v>199</v>
      </c>
      <c r="C23" s="1"/>
    </row>
    <row r="24" spans="1:4" x14ac:dyDescent="0.25">
      <c r="C24" s="1"/>
    </row>
    <row r="25" spans="1:4" x14ac:dyDescent="0.25">
      <c r="C25" s="1"/>
    </row>
    <row r="26" spans="1:4" x14ac:dyDescent="0.25">
      <c r="C26" s="1"/>
    </row>
    <row r="27" spans="1:4" x14ac:dyDescent="0.25">
      <c r="C27" s="1"/>
    </row>
    <row r="28" spans="1:4" x14ac:dyDescent="0.25">
      <c r="C28" s="1"/>
    </row>
    <row r="29" spans="1:4" x14ac:dyDescent="0.25">
      <c r="C29" s="1"/>
    </row>
    <row r="30" spans="1:4" x14ac:dyDescent="0.25">
      <c r="C30" s="1"/>
    </row>
    <row r="31" spans="1:4" x14ac:dyDescent="0.25">
      <c r="C31" s="1"/>
    </row>
    <row r="32" spans="1:4" x14ac:dyDescent="0.25">
      <c r="C32" s="1"/>
    </row>
    <row r="33" spans="3:4" x14ac:dyDescent="0.25">
      <c r="C33" s="1"/>
    </row>
    <row r="34" spans="3:4" x14ac:dyDescent="0.25">
      <c r="C34" s="1"/>
    </row>
    <row r="35" spans="3:4" x14ac:dyDescent="0.25">
      <c r="C35" s="1"/>
      <c r="D35" s="1"/>
    </row>
    <row r="36" spans="3:4" x14ac:dyDescent="0.25">
      <c r="C36" s="1"/>
    </row>
    <row r="37" spans="3:4" x14ac:dyDescent="0.25">
      <c r="C37" s="1"/>
    </row>
  </sheetData>
  <conditionalFormatting sqref="B8">
    <cfRule type="cellIs" dxfId="0" priority="1" operator="equal">
      <formula>"tbd"</formula>
    </cfRule>
    <cfRule type="cellIs" priority="2" operator="equal">
      <formula>"tbd"</formula>
    </cfRule>
  </conditionalFormatting>
  <dataValidations count="1">
    <dataValidation type="list" allowBlank="1" showInputMessage="1" showErrorMessage="1" sqref="B8" xr:uid="{00000000-0002-0000-0700-000000000000}">
      <formula1>names_groups</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Concepts</vt:lpstr>
      <vt:lpstr>Priorities</vt:lpstr>
      <vt:lpstr>ToC - Generated</vt:lpstr>
      <vt:lpstr>from adam</vt:lpstr>
      <vt:lpstr>API</vt:lpstr>
      <vt:lpstr>UI</vt:lpstr>
      <vt:lpstr>Existing Documentation</vt:lpstr>
      <vt:lpstr>groups</vt:lpstr>
      <vt:lpstr>Classes</vt:lpstr>
      <vt:lpstr>names_concepts</vt:lpstr>
      <vt:lpstr>names_groups</vt:lpstr>
      <vt:lpstr>priorities_table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2015-06-05T18:17:20Z</dcterms:created>
  <dcterms:modified xsi:type="dcterms:W3CDTF">2017-10-02T13:50:11Z</dcterms:modified>
</cp:coreProperties>
</file>